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1C4340A-760B-42C6-998D-58E0EF0006D8}" xr6:coauthVersionLast="47" xr6:coauthVersionMax="47" xr10:uidLastSave="{00000000-0000-0000-0000-000000000000}"/>
  <bookViews>
    <workbookView xWindow="-110" yWindow="-110" windowWidth="19420" windowHeight="11020" activeTab="6" xr2:uid="{00000000-000D-0000-FFFF-FFFF00000000}"/>
  </bookViews>
  <sheets>
    <sheet name="Data Sheet" sheetId="6" r:id="rId1"/>
    <sheet name="Financials&gt;" sheetId="7" r:id="rId2"/>
    <sheet name="HistoricalFS" sheetId="8" r:id="rId3"/>
    <sheet name="Ratio Analysis" sheetId="11" r:id="rId4"/>
    <sheet name="Forecasting" sheetId="12" r:id="rId5"/>
    <sheet name="WACC" sheetId="13" r:id="rId6"/>
    <sheet name="Cash Flow Data" sheetId="10" r:id="rId7"/>
    <sheet name="Data" sheetId="9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12" l="1"/>
  <c r="E5" i="12" l="1"/>
  <c r="E6" i="12"/>
  <c r="E7" i="12"/>
  <c r="E8" i="12"/>
  <c r="E9" i="12"/>
  <c r="E10" i="12"/>
  <c r="E11" i="12"/>
  <c r="E12" i="12"/>
  <c r="E4" i="12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B4" i="12"/>
  <c r="B5" i="12" s="1"/>
  <c r="B6" i="12" s="1"/>
  <c r="B7" i="12" s="1"/>
  <c r="B8" i="12" s="1"/>
  <c r="B9" i="12" s="1"/>
  <c r="B10" i="12" s="1"/>
  <c r="B11" i="12" s="1"/>
  <c r="B12" i="12" s="1"/>
  <c r="B13" i="12" s="1"/>
  <c r="C5" i="11"/>
  <c r="B2" i="11"/>
  <c r="L3" i="11"/>
  <c r="K3" i="11"/>
  <c r="J3" i="11"/>
  <c r="I3" i="11"/>
  <c r="H3" i="11"/>
  <c r="G3" i="11"/>
  <c r="F3" i="11"/>
  <c r="E3" i="11"/>
  <c r="D3" i="11"/>
  <c r="C3" i="11"/>
  <c r="D98" i="8"/>
  <c r="E98" i="8"/>
  <c r="F98" i="8"/>
  <c r="G98" i="8"/>
  <c r="H98" i="8"/>
  <c r="I98" i="8"/>
  <c r="J98" i="8"/>
  <c r="K98" i="8"/>
  <c r="L98" i="8"/>
  <c r="C98" i="8"/>
  <c r="D97" i="8"/>
  <c r="E97" i="8"/>
  <c r="F97" i="8"/>
  <c r="G97" i="8"/>
  <c r="H97" i="8"/>
  <c r="I97" i="8"/>
  <c r="J97" i="8"/>
  <c r="K97" i="8"/>
  <c r="L97" i="8"/>
  <c r="C97" i="8"/>
  <c r="D96" i="8"/>
  <c r="E96" i="8"/>
  <c r="F96" i="8"/>
  <c r="G96" i="8"/>
  <c r="H96" i="8"/>
  <c r="I96" i="8"/>
  <c r="J96" i="8"/>
  <c r="K96" i="8"/>
  <c r="L96" i="8"/>
  <c r="C96" i="8"/>
  <c r="D95" i="8"/>
  <c r="E95" i="8"/>
  <c r="F95" i="8"/>
  <c r="G95" i="8"/>
  <c r="H95" i="8"/>
  <c r="I95" i="8"/>
  <c r="J95" i="8"/>
  <c r="K95" i="8"/>
  <c r="L95" i="8"/>
  <c r="C95" i="8"/>
  <c r="D94" i="8"/>
  <c r="E94" i="8"/>
  <c r="F94" i="8"/>
  <c r="G94" i="8"/>
  <c r="H94" i="8"/>
  <c r="I94" i="8"/>
  <c r="J94" i="8"/>
  <c r="K94" i="8"/>
  <c r="L94" i="8"/>
  <c r="C94" i="8"/>
  <c r="D93" i="8"/>
  <c r="E93" i="8"/>
  <c r="F93" i="8"/>
  <c r="G93" i="8"/>
  <c r="H93" i="8"/>
  <c r="I93" i="8"/>
  <c r="J93" i="8"/>
  <c r="K93" i="8"/>
  <c r="L93" i="8"/>
  <c r="C93" i="8"/>
  <c r="D92" i="8"/>
  <c r="E92" i="8"/>
  <c r="F92" i="8"/>
  <c r="G92" i="8"/>
  <c r="H92" i="8"/>
  <c r="I92" i="8"/>
  <c r="J92" i="8"/>
  <c r="K92" i="8"/>
  <c r="L92" i="8"/>
  <c r="C92" i="8"/>
  <c r="D91" i="8"/>
  <c r="E91" i="8"/>
  <c r="F91" i="8"/>
  <c r="G91" i="8"/>
  <c r="H91" i="8"/>
  <c r="I91" i="8"/>
  <c r="J91" i="8"/>
  <c r="K91" i="8"/>
  <c r="L91" i="8"/>
  <c r="C91" i="8"/>
  <c r="D90" i="8"/>
  <c r="E90" i="8"/>
  <c r="F90" i="8"/>
  <c r="G90" i="8"/>
  <c r="H90" i="8"/>
  <c r="I90" i="8"/>
  <c r="J90" i="8"/>
  <c r="K90" i="8"/>
  <c r="L90" i="8"/>
  <c r="C90" i="8"/>
  <c r="D89" i="8"/>
  <c r="E89" i="8"/>
  <c r="F89" i="8"/>
  <c r="G89" i="8"/>
  <c r="H89" i="8"/>
  <c r="I89" i="8"/>
  <c r="J89" i="8"/>
  <c r="K89" i="8"/>
  <c r="L89" i="8"/>
  <c r="C89" i="8"/>
  <c r="D86" i="8"/>
  <c r="E86" i="8"/>
  <c r="F86" i="8"/>
  <c r="G86" i="8"/>
  <c r="H86" i="8"/>
  <c r="I86" i="8"/>
  <c r="J86" i="8"/>
  <c r="K86" i="8"/>
  <c r="L86" i="8"/>
  <c r="C86" i="8"/>
  <c r="D85" i="8"/>
  <c r="E85" i="8"/>
  <c r="F85" i="8"/>
  <c r="G85" i="8"/>
  <c r="H85" i="8"/>
  <c r="I85" i="8"/>
  <c r="J85" i="8"/>
  <c r="K85" i="8"/>
  <c r="L85" i="8"/>
  <c r="C85" i="8"/>
  <c r="D84" i="8"/>
  <c r="E84" i="8"/>
  <c r="F84" i="8"/>
  <c r="G84" i="8"/>
  <c r="H84" i="8"/>
  <c r="I84" i="8"/>
  <c r="J84" i="8"/>
  <c r="K84" i="8"/>
  <c r="L84" i="8"/>
  <c r="C84" i="8"/>
  <c r="D83" i="8"/>
  <c r="E83" i="8"/>
  <c r="F83" i="8"/>
  <c r="G83" i="8"/>
  <c r="H83" i="8"/>
  <c r="I83" i="8"/>
  <c r="J83" i="8"/>
  <c r="K83" i="8"/>
  <c r="L83" i="8"/>
  <c r="C83" i="8"/>
  <c r="D82" i="8"/>
  <c r="E82" i="8"/>
  <c r="F82" i="8"/>
  <c r="G82" i="8"/>
  <c r="H82" i="8"/>
  <c r="I82" i="8"/>
  <c r="J82" i="8"/>
  <c r="K82" i="8"/>
  <c r="L82" i="8"/>
  <c r="C82" i="8"/>
  <c r="D81" i="8"/>
  <c r="E81" i="8"/>
  <c r="F81" i="8"/>
  <c r="G81" i="8"/>
  <c r="H81" i="8"/>
  <c r="I81" i="8"/>
  <c r="J81" i="8"/>
  <c r="K81" i="8"/>
  <c r="L81" i="8"/>
  <c r="C81" i="8"/>
  <c r="D80" i="8"/>
  <c r="E80" i="8"/>
  <c r="F80" i="8"/>
  <c r="G80" i="8"/>
  <c r="H80" i="8"/>
  <c r="I80" i="8"/>
  <c r="J80" i="8"/>
  <c r="K80" i="8"/>
  <c r="L80" i="8"/>
  <c r="C80" i="8"/>
  <c r="D79" i="8"/>
  <c r="E79" i="8"/>
  <c r="F79" i="8"/>
  <c r="G79" i="8"/>
  <c r="H79" i="8"/>
  <c r="I79" i="8"/>
  <c r="J79" i="8"/>
  <c r="K79" i="8"/>
  <c r="L79" i="8"/>
  <c r="C79" i="8"/>
  <c r="D78" i="8"/>
  <c r="E78" i="8"/>
  <c r="F78" i="8"/>
  <c r="G78" i="8"/>
  <c r="H78" i="8"/>
  <c r="I78" i="8"/>
  <c r="J78" i="8"/>
  <c r="K78" i="8"/>
  <c r="L78" i="8"/>
  <c r="C78" i="8"/>
  <c r="D77" i="8"/>
  <c r="E77" i="8"/>
  <c r="F77" i="8"/>
  <c r="G77" i="8"/>
  <c r="H77" i="8"/>
  <c r="I77" i="8"/>
  <c r="J77" i="8"/>
  <c r="K77" i="8"/>
  <c r="L77" i="8"/>
  <c r="C77" i="8"/>
  <c r="D76" i="8"/>
  <c r="E76" i="8"/>
  <c r="F76" i="8"/>
  <c r="G76" i="8"/>
  <c r="H76" i="8"/>
  <c r="I76" i="8"/>
  <c r="J76" i="8"/>
  <c r="K76" i="8"/>
  <c r="L76" i="8"/>
  <c r="C76" i="8"/>
  <c r="D75" i="8"/>
  <c r="E75" i="8"/>
  <c r="F75" i="8"/>
  <c r="G75" i="8"/>
  <c r="H75" i="8"/>
  <c r="I75" i="8"/>
  <c r="J75" i="8"/>
  <c r="K75" i="8"/>
  <c r="L75" i="8"/>
  <c r="C75" i="8"/>
  <c r="D73" i="8"/>
  <c r="E73" i="8"/>
  <c r="F73" i="8"/>
  <c r="G73" i="8"/>
  <c r="H73" i="8"/>
  <c r="I73" i="8"/>
  <c r="J73" i="8"/>
  <c r="K73" i="8"/>
  <c r="L73" i="8"/>
  <c r="C73" i="8"/>
  <c r="D72" i="8"/>
  <c r="E72" i="8"/>
  <c r="F72" i="8"/>
  <c r="G72" i="8"/>
  <c r="H72" i="8"/>
  <c r="I72" i="8"/>
  <c r="J72" i="8"/>
  <c r="K72" i="8"/>
  <c r="L72" i="8"/>
  <c r="C72" i="8"/>
  <c r="D71" i="8"/>
  <c r="E71" i="8"/>
  <c r="F71" i="8"/>
  <c r="G71" i="8"/>
  <c r="H71" i="8"/>
  <c r="I71" i="8"/>
  <c r="J71" i="8"/>
  <c r="K71" i="8"/>
  <c r="L71" i="8"/>
  <c r="C71" i="8"/>
  <c r="D70" i="8"/>
  <c r="E70" i="8"/>
  <c r="F70" i="8"/>
  <c r="G70" i="8"/>
  <c r="H70" i="8"/>
  <c r="I70" i="8"/>
  <c r="J70" i="8"/>
  <c r="K70" i="8"/>
  <c r="L70" i="8"/>
  <c r="C70" i="8"/>
  <c r="D69" i="8"/>
  <c r="E69" i="8"/>
  <c r="F69" i="8"/>
  <c r="G69" i="8"/>
  <c r="H69" i="8"/>
  <c r="I69" i="8"/>
  <c r="J69" i="8"/>
  <c r="K69" i="8"/>
  <c r="L69" i="8"/>
  <c r="C69" i="8"/>
  <c r="D68" i="8"/>
  <c r="E68" i="8"/>
  <c r="F68" i="8"/>
  <c r="G68" i="8"/>
  <c r="H68" i="8"/>
  <c r="I68" i="8"/>
  <c r="J68" i="8"/>
  <c r="K68" i="8"/>
  <c r="L68" i="8"/>
  <c r="C68" i="8"/>
  <c r="D67" i="8"/>
  <c r="E67" i="8"/>
  <c r="F67" i="8"/>
  <c r="G67" i="8"/>
  <c r="H67" i="8"/>
  <c r="I67" i="8"/>
  <c r="J67" i="8"/>
  <c r="K67" i="8"/>
  <c r="L67" i="8"/>
  <c r="C67" i="8"/>
  <c r="D66" i="8"/>
  <c r="E66" i="8"/>
  <c r="F66" i="8"/>
  <c r="G66" i="8"/>
  <c r="H66" i="8"/>
  <c r="I66" i="8"/>
  <c r="J66" i="8"/>
  <c r="K66" i="8"/>
  <c r="L66" i="8"/>
  <c r="C66" i="8"/>
  <c r="D65" i="8"/>
  <c r="E65" i="8"/>
  <c r="F65" i="8"/>
  <c r="G65" i="8"/>
  <c r="H65" i="8"/>
  <c r="I65" i="8"/>
  <c r="J65" i="8"/>
  <c r="K65" i="8"/>
  <c r="L65" i="8"/>
  <c r="C65" i="8"/>
  <c r="D60" i="8"/>
  <c r="E60" i="8"/>
  <c r="F60" i="8"/>
  <c r="G60" i="8"/>
  <c r="H60" i="8"/>
  <c r="I60" i="8"/>
  <c r="J60" i="8"/>
  <c r="K60" i="8"/>
  <c r="L60" i="8"/>
  <c r="C60" i="8"/>
  <c r="D59" i="8"/>
  <c r="E59" i="8"/>
  <c r="F59" i="8"/>
  <c r="G59" i="8"/>
  <c r="H59" i="8"/>
  <c r="I59" i="8"/>
  <c r="J59" i="8"/>
  <c r="K59" i="8"/>
  <c r="L59" i="8"/>
  <c r="C59" i="8"/>
  <c r="D58" i="8"/>
  <c r="E58" i="8"/>
  <c r="F58" i="8"/>
  <c r="G58" i="8"/>
  <c r="H58" i="8"/>
  <c r="I58" i="8"/>
  <c r="J58" i="8"/>
  <c r="K58" i="8"/>
  <c r="L58" i="8"/>
  <c r="C58" i="8"/>
  <c r="D57" i="8"/>
  <c r="E57" i="8"/>
  <c r="F57" i="8"/>
  <c r="G57" i="8"/>
  <c r="H57" i="8"/>
  <c r="I57" i="8"/>
  <c r="J57" i="8"/>
  <c r="K57" i="8"/>
  <c r="L57" i="8"/>
  <c r="C57" i="8"/>
  <c r="D55" i="8"/>
  <c r="E55" i="8"/>
  <c r="E62" i="8" s="1"/>
  <c r="F55" i="8"/>
  <c r="F62" i="8" s="1"/>
  <c r="G55" i="8"/>
  <c r="H55" i="8"/>
  <c r="I55" i="8"/>
  <c r="I62" i="8" s="1"/>
  <c r="J55" i="8"/>
  <c r="K55" i="8"/>
  <c r="L55" i="8"/>
  <c r="C55" i="8"/>
  <c r="C62" i="8" s="1"/>
  <c r="D54" i="8"/>
  <c r="E54" i="8"/>
  <c r="F54" i="8"/>
  <c r="G54" i="8"/>
  <c r="H54" i="8"/>
  <c r="I54" i="8"/>
  <c r="J54" i="8"/>
  <c r="K54" i="8"/>
  <c r="L54" i="8"/>
  <c r="C54" i="8"/>
  <c r="D53" i="8"/>
  <c r="E53" i="8"/>
  <c r="F53" i="8"/>
  <c r="G53" i="8"/>
  <c r="H53" i="8"/>
  <c r="I53" i="8"/>
  <c r="J53" i="8"/>
  <c r="K53" i="8"/>
  <c r="L53" i="8"/>
  <c r="C53" i="8"/>
  <c r="D52" i="8"/>
  <c r="E52" i="8"/>
  <c r="F52" i="8"/>
  <c r="G52" i="8"/>
  <c r="H52" i="8"/>
  <c r="I52" i="8"/>
  <c r="J52" i="8"/>
  <c r="K52" i="8"/>
  <c r="L52" i="8"/>
  <c r="C52" i="8"/>
  <c r="D51" i="8"/>
  <c r="E51" i="8"/>
  <c r="F51" i="8"/>
  <c r="G51" i="8"/>
  <c r="H51" i="8"/>
  <c r="I51" i="8"/>
  <c r="J51" i="8"/>
  <c r="K51" i="8"/>
  <c r="L51" i="8"/>
  <c r="C51" i="8"/>
  <c r="D49" i="8"/>
  <c r="E49" i="8"/>
  <c r="F49" i="8"/>
  <c r="G49" i="8"/>
  <c r="H49" i="8"/>
  <c r="I49" i="8"/>
  <c r="J49" i="8"/>
  <c r="K49" i="8"/>
  <c r="L49" i="8"/>
  <c r="L62" i="8" s="1"/>
  <c r="C49" i="8"/>
  <c r="D48" i="8"/>
  <c r="E48" i="8"/>
  <c r="F48" i="8"/>
  <c r="G48" i="8"/>
  <c r="H48" i="8"/>
  <c r="I48" i="8"/>
  <c r="J48" i="8"/>
  <c r="K48" i="8"/>
  <c r="L48" i="8"/>
  <c r="C48" i="8"/>
  <c r="D47" i="8"/>
  <c r="E47" i="8"/>
  <c r="F47" i="8"/>
  <c r="G47" i="8"/>
  <c r="H47" i="8"/>
  <c r="I47" i="8"/>
  <c r="J47" i="8"/>
  <c r="K47" i="8"/>
  <c r="L47" i="8"/>
  <c r="C47" i="8"/>
  <c r="D46" i="8"/>
  <c r="E46" i="8"/>
  <c r="F46" i="8"/>
  <c r="G46" i="8"/>
  <c r="H46" i="8"/>
  <c r="I46" i="8"/>
  <c r="J46" i="8"/>
  <c r="K46" i="8"/>
  <c r="L46" i="8"/>
  <c r="C46" i="8"/>
  <c r="D45" i="8"/>
  <c r="E45" i="8"/>
  <c r="F45" i="8"/>
  <c r="G45" i="8"/>
  <c r="H45" i="8"/>
  <c r="I45" i="8"/>
  <c r="J45" i="8"/>
  <c r="K45" i="8"/>
  <c r="L45" i="8"/>
  <c r="C45" i="8"/>
  <c r="D35" i="8"/>
  <c r="D39" i="8" s="1"/>
  <c r="E35" i="8"/>
  <c r="E39" i="8" s="1"/>
  <c r="F35" i="8"/>
  <c r="F39" i="8" s="1"/>
  <c r="G35" i="8"/>
  <c r="G39" i="8" s="1"/>
  <c r="H35" i="8"/>
  <c r="H39" i="8" s="1"/>
  <c r="I35" i="8"/>
  <c r="I39" i="8" s="1"/>
  <c r="J35" i="8"/>
  <c r="J39" i="8" s="1"/>
  <c r="K35" i="8"/>
  <c r="K39" i="8" s="1"/>
  <c r="L35" i="8"/>
  <c r="L39" i="8" s="1"/>
  <c r="C35" i="8"/>
  <c r="C39" i="8" s="1"/>
  <c r="D29" i="8"/>
  <c r="E29" i="8"/>
  <c r="F29" i="8"/>
  <c r="G29" i="8"/>
  <c r="H29" i="8"/>
  <c r="I29" i="8"/>
  <c r="J29" i="8"/>
  <c r="K29" i="8"/>
  <c r="L29" i="8"/>
  <c r="C29" i="8"/>
  <c r="D23" i="8"/>
  <c r="E23" i="8"/>
  <c r="F23" i="8"/>
  <c r="G23" i="8"/>
  <c r="H23" i="8"/>
  <c r="I23" i="8"/>
  <c r="J23" i="8"/>
  <c r="K23" i="8"/>
  <c r="L23" i="8"/>
  <c r="C23" i="8"/>
  <c r="D20" i="8"/>
  <c r="E20" i="8"/>
  <c r="F20" i="8"/>
  <c r="G20" i="8"/>
  <c r="H20" i="8"/>
  <c r="I20" i="8"/>
  <c r="J20" i="8"/>
  <c r="K20" i="8"/>
  <c r="L20" i="8"/>
  <c r="C20" i="8"/>
  <c r="D14" i="8"/>
  <c r="E14" i="8"/>
  <c r="F14" i="8"/>
  <c r="G14" i="8"/>
  <c r="H14" i="8"/>
  <c r="I14" i="8"/>
  <c r="J14" i="8"/>
  <c r="K14" i="8"/>
  <c r="L14" i="8"/>
  <c r="C14" i="8"/>
  <c r="C8" i="8"/>
  <c r="D8" i="8"/>
  <c r="E8" i="8"/>
  <c r="F8" i="8"/>
  <c r="G8" i="8"/>
  <c r="H8" i="8"/>
  <c r="I8" i="8"/>
  <c r="J8" i="8"/>
  <c r="K8" i="8"/>
  <c r="L8" i="8"/>
  <c r="M5" i="8"/>
  <c r="D5" i="8"/>
  <c r="E5" i="8"/>
  <c r="F5" i="8"/>
  <c r="G5" i="8"/>
  <c r="H5" i="8"/>
  <c r="I5" i="8"/>
  <c r="J5" i="8"/>
  <c r="K5" i="8"/>
  <c r="L5" i="8"/>
  <c r="C5" i="8"/>
  <c r="B2" i="8"/>
  <c r="K3" i="8"/>
  <c r="L3" i="8"/>
  <c r="D3" i="8"/>
  <c r="E3" i="8"/>
  <c r="F3" i="8"/>
  <c r="G3" i="8"/>
  <c r="H3" i="8"/>
  <c r="I3" i="8"/>
  <c r="J3" i="8"/>
  <c r="C3" i="8"/>
  <c r="B6" i="6"/>
  <c r="E1" i="6"/>
  <c r="J62" i="8" l="1"/>
  <c r="H62" i="8"/>
  <c r="G62" i="8"/>
  <c r="D62" i="8"/>
  <c r="K62" i="8"/>
  <c r="B14" i="12"/>
  <c r="D13" i="12"/>
  <c r="E13" i="12" s="1"/>
  <c r="D24" i="12"/>
  <c r="D21" i="12"/>
  <c r="D22" i="12"/>
  <c r="C21" i="8"/>
  <c r="E21" i="8"/>
  <c r="J24" i="8"/>
  <c r="K15" i="8"/>
  <c r="I24" i="8"/>
  <c r="J15" i="8"/>
  <c r="K11" i="8"/>
  <c r="K12" i="8" s="1"/>
  <c r="E15" i="8"/>
  <c r="I15" i="8"/>
  <c r="K21" i="8"/>
  <c r="K24" i="8"/>
  <c r="D11" i="8"/>
  <c r="C11" i="8"/>
  <c r="E24" i="8"/>
  <c r="H24" i="8"/>
  <c r="C24" i="8"/>
  <c r="L24" i="8"/>
  <c r="D24" i="8"/>
  <c r="I6" i="8"/>
  <c r="I5" i="11" s="1"/>
  <c r="H15" i="8"/>
  <c r="L21" i="8"/>
  <c r="D21" i="8"/>
  <c r="J21" i="8"/>
  <c r="H21" i="8"/>
  <c r="F11" i="8"/>
  <c r="J11" i="8"/>
  <c r="I21" i="8"/>
  <c r="C9" i="8"/>
  <c r="E11" i="8"/>
  <c r="I11" i="8"/>
  <c r="L11" i="8"/>
  <c r="D6" i="8"/>
  <c r="D5" i="11" s="1"/>
  <c r="G21" i="8"/>
  <c r="F15" i="8"/>
  <c r="H11" i="8"/>
  <c r="C15" i="8"/>
  <c r="G6" i="8"/>
  <c r="G5" i="11" s="1"/>
  <c r="G24" i="8"/>
  <c r="F24" i="8"/>
  <c r="G11" i="8"/>
  <c r="L15" i="8"/>
  <c r="G15" i="8"/>
  <c r="F21" i="8"/>
  <c r="F9" i="8"/>
  <c r="D15" i="8"/>
  <c r="F6" i="8"/>
  <c r="F5" i="11" s="1"/>
  <c r="I9" i="8"/>
  <c r="K6" i="8"/>
  <c r="K5" i="11" s="1"/>
  <c r="D9" i="8"/>
  <c r="J9" i="8"/>
  <c r="E6" i="8"/>
  <c r="E5" i="11" s="1"/>
  <c r="H9" i="8"/>
  <c r="E9" i="8"/>
  <c r="G9" i="8"/>
  <c r="J6" i="8"/>
  <c r="J5" i="11" s="1"/>
  <c r="L9" i="8"/>
  <c r="K9" i="8"/>
  <c r="H6" i="8"/>
  <c r="H5" i="11" s="1"/>
  <c r="L6" i="8"/>
  <c r="L5" i="11" s="1"/>
  <c r="B15" i="12" l="1"/>
  <c r="D14" i="12"/>
  <c r="E14" i="12" s="1"/>
  <c r="K17" i="8"/>
  <c r="K18" i="8"/>
  <c r="K26" i="8"/>
  <c r="I17" i="8"/>
  <c r="I6" i="11" s="1"/>
  <c r="I12" i="8"/>
  <c r="E17" i="8"/>
  <c r="E6" i="11" s="1"/>
  <c r="E12" i="8"/>
  <c r="C17" i="8"/>
  <c r="C12" i="8"/>
  <c r="H17" i="8"/>
  <c r="H6" i="11" s="1"/>
  <c r="H12" i="8"/>
  <c r="D17" i="8"/>
  <c r="D6" i="11" s="1"/>
  <c r="D12" i="8"/>
  <c r="J17" i="8"/>
  <c r="J6" i="11" s="1"/>
  <c r="J12" i="8"/>
  <c r="F17" i="8"/>
  <c r="F12" i="8"/>
  <c r="G17" i="8"/>
  <c r="G6" i="11" s="1"/>
  <c r="G12" i="8"/>
  <c r="L17" i="8"/>
  <c r="L6" i="11" s="1"/>
  <c r="L12" i="8"/>
  <c r="K6" i="11" l="1"/>
  <c r="F6" i="11"/>
  <c r="B16" i="12"/>
  <c r="D15" i="12"/>
  <c r="E15" i="12" s="1"/>
  <c r="F18" i="8"/>
  <c r="F26" i="8"/>
  <c r="F7" i="11" s="1"/>
  <c r="C18" i="8"/>
  <c r="C26" i="8"/>
  <c r="J18" i="8"/>
  <c r="J26" i="8"/>
  <c r="J7" i="11" s="1"/>
  <c r="E18" i="8"/>
  <c r="E26" i="8"/>
  <c r="E7" i="11" s="1"/>
  <c r="L18" i="8"/>
  <c r="L26" i="8"/>
  <c r="L7" i="11" s="1"/>
  <c r="D18" i="8"/>
  <c r="D26" i="8"/>
  <c r="D7" i="11" s="1"/>
  <c r="I18" i="8"/>
  <c r="I26" i="8"/>
  <c r="I7" i="11" s="1"/>
  <c r="K27" i="8"/>
  <c r="K32" i="8"/>
  <c r="K30" i="8"/>
  <c r="G18" i="8"/>
  <c r="G26" i="8"/>
  <c r="G7" i="11" s="1"/>
  <c r="H18" i="8"/>
  <c r="H26" i="8"/>
  <c r="H7" i="11" l="1"/>
  <c r="K7" i="11"/>
  <c r="B17" i="12"/>
  <c r="D17" i="12" s="1"/>
  <c r="D16" i="12"/>
  <c r="E16" i="12" s="1"/>
  <c r="K37" i="8"/>
  <c r="K40" i="8" s="1"/>
  <c r="K42" i="8" s="1"/>
  <c r="K33" i="8"/>
  <c r="E32" i="8"/>
  <c r="E8" i="11" s="1"/>
  <c r="E27" i="8"/>
  <c r="E30" i="8"/>
  <c r="I27" i="8"/>
  <c r="I32" i="8"/>
  <c r="I8" i="11" s="1"/>
  <c r="I30" i="8"/>
  <c r="J27" i="8"/>
  <c r="J32" i="8"/>
  <c r="J8" i="11" s="1"/>
  <c r="J30" i="8"/>
  <c r="H27" i="8"/>
  <c r="H32" i="8"/>
  <c r="H30" i="8"/>
  <c r="D32" i="8"/>
  <c r="D27" i="8"/>
  <c r="D30" i="8"/>
  <c r="C32" i="8"/>
  <c r="C27" i="8"/>
  <c r="C30" i="8"/>
  <c r="G32" i="8"/>
  <c r="G27" i="8"/>
  <c r="G30" i="8"/>
  <c r="L32" i="8"/>
  <c r="L8" i="11" s="1"/>
  <c r="L27" i="8"/>
  <c r="L30" i="8"/>
  <c r="F32" i="8"/>
  <c r="F8" i="11" s="1"/>
  <c r="F27" i="8"/>
  <c r="F30" i="8"/>
  <c r="D8" i="11" l="1"/>
  <c r="G8" i="11"/>
  <c r="H8" i="11"/>
  <c r="K8" i="11"/>
  <c r="E17" i="12"/>
  <c r="L37" i="8"/>
  <c r="L40" i="8" s="1"/>
  <c r="L42" i="8" s="1"/>
  <c r="L33" i="8"/>
  <c r="D37" i="8"/>
  <c r="D40" i="8" s="1"/>
  <c r="D42" i="8" s="1"/>
  <c r="D33" i="8"/>
  <c r="I33" i="8"/>
  <c r="I37" i="8"/>
  <c r="I40" i="8" s="1"/>
  <c r="I42" i="8" s="1"/>
  <c r="G33" i="8"/>
  <c r="G37" i="8"/>
  <c r="G40" i="8" s="1"/>
  <c r="G42" i="8" s="1"/>
  <c r="H33" i="8"/>
  <c r="H37" i="8"/>
  <c r="H40" i="8" s="1"/>
  <c r="H42" i="8" s="1"/>
  <c r="F33" i="8"/>
  <c r="F37" i="8"/>
  <c r="F40" i="8" s="1"/>
  <c r="F42" i="8" s="1"/>
  <c r="E37" i="8"/>
  <c r="E40" i="8" s="1"/>
  <c r="E42" i="8" s="1"/>
  <c r="E33" i="8"/>
  <c r="C37" i="8"/>
  <c r="C40" i="8" s="1"/>
  <c r="C42" i="8" s="1"/>
  <c r="C33" i="8"/>
  <c r="J37" i="8"/>
  <c r="J40" i="8" s="1"/>
  <c r="J42" i="8" s="1"/>
  <c r="J33" i="8"/>
</calcChain>
</file>

<file path=xl/sharedStrings.xml><?xml version="1.0" encoding="utf-8"?>
<sst xmlns="http://schemas.openxmlformats.org/spreadsheetml/2006/main" count="307" uniqueCount="219">
  <si>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</si>
  <si>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</si>
  <si>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</si>
  <si>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</si>
  <si>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</si>
  <si>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</si>
  <si>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</si>
  <si>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</si>
  <si>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</si>
  <si>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</si>
  <si>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</si>
  <si>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</si>
  <si>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</si>
  <si>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</si>
  <si>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</si>
  <si>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</si>
  <si>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</si>
  <si>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</si>
  <si>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</si>
  <si>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</si>
  <si>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</si>
  <si>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</si>
  <si>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</si>
  <si>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</si>
  <si>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</si>
  <si>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</si>
  <si>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</si>
  <si>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</si>
  <si>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</si>
  <si>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</si>
  <si>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</si>
  <si>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</si>
  <si>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</si>
  <si>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</si>
  <si>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TATA MOTORS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</si>
  <si>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</si>
  <si>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</si>
  <si>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</si>
  <si>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</si>
  <si>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</si>
  <si>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</si>
  <si>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</si>
  <si>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</si>
  <si>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</si>
  <si>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</si>
  <si>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</si>
  <si>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</si>
  <si>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</si>
  <si>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</si>
  <si>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</si>
  <si>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</si>
  <si>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</si>
  <si>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</si>
  <si>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</si>
  <si>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</si>
  <si>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</si>
  <si>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</si>
  <si>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</si>
  <si>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</si>
  <si>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-</t>
  </si>
  <si>
    <t>COGS</t>
  </si>
  <si>
    <t>COGS%Sales</t>
  </si>
  <si>
    <t>Gross Profit</t>
  </si>
  <si>
    <t>SG&amp;A</t>
  </si>
  <si>
    <t>S&amp;G Exp % Sales</t>
  </si>
  <si>
    <t>EBITDA</t>
  </si>
  <si>
    <t>Income Statement (Crores)</t>
  </si>
  <si>
    <t>EBITDA Margin</t>
  </si>
  <si>
    <t>Interest % Sales</t>
  </si>
  <si>
    <t>Depriciation % sales</t>
  </si>
  <si>
    <t>Gross Margin</t>
  </si>
  <si>
    <t>EBT</t>
  </si>
  <si>
    <t>EBT % sales</t>
  </si>
  <si>
    <t>Effective Tax Rate</t>
  </si>
  <si>
    <t>Net Profit</t>
  </si>
  <si>
    <t>Net Margin</t>
  </si>
  <si>
    <t>No of Equity Shares</t>
  </si>
  <si>
    <t>Dividend</t>
  </si>
  <si>
    <t>Retained Earnings</t>
  </si>
  <si>
    <t>Dividend Payout Ratio</t>
  </si>
  <si>
    <t>Balance Sheet</t>
  </si>
  <si>
    <t>Total Liabilities</t>
  </si>
  <si>
    <t>Total Assets</t>
  </si>
  <si>
    <t>A=L+E</t>
  </si>
  <si>
    <t>Cash from Operating Activity 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</si>
  <si>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</si>
  <si>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</si>
  <si>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</si>
  <si>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</si>
  <si>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</si>
  <si>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</si>
  <si>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</si>
  <si>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</si>
  <si>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</si>
  <si>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</si>
  <si>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</si>
  <si>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</si>
  <si>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</si>
  <si>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</si>
  <si>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</si>
  <si>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</si>
  <si>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</si>
  <si>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</si>
  <si>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 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</si>
  <si>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</si>
  <si>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</si>
  <si>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</si>
  <si>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</si>
  <si>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</si>
  <si>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</si>
  <si>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</si>
  <si>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</si>
  <si>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Cash Flow Statement </t>
  </si>
  <si>
    <t>SalesGrowth</t>
  </si>
  <si>
    <t>Net Profit Growth</t>
  </si>
  <si>
    <t>EBITDA Growth</t>
  </si>
  <si>
    <t>Dividend Growth</t>
  </si>
  <si>
    <t>Operating Margin</t>
  </si>
  <si>
    <t>EBIT Margin</t>
  </si>
  <si>
    <t>EBT Margin</t>
  </si>
  <si>
    <t>Net Profit Margin</t>
  </si>
  <si>
    <t xml:space="preserve">SalesExpenses%sales </t>
  </si>
  <si>
    <t>Depreciation % Sales</t>
  </si>
  <si>
    <t>OperatingIncome%Sales</t>
  </si>
  <si>
    <t>Return On Capital Employed</t>
  </si>
  <si>
    <t>Retained Earningns%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</si>
  <si>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</si>
  <si>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</si>
  <si>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</si>
  <si>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</si>
  <si>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</si>
  <si>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</si>
  <si>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</si>
  <si>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</si>
  <si>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</si>
  <si>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</si>
  <si>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</si>
  <si>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</si>
  <si>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</si>
  <si>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</si>
  <si>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</si>
  <si>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EBIT Growth</t>
  </si>
  <si>
    <t>Year</t>
  </si>
  <si>
    <t>Year Weight</t>
  </si>
  <si>
    <t>Arthematic Growth</t>
  </si>
  <si>
    <t>Geometric Growth</t>
  </si>
  <si>
    <t>Standard Deviation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</si>
  <si>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</si>
  <si>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</si>
  <si>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</si>
  <si>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</si>
  <si>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</si>
  <si>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</si>
  <si>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</si>
  <si>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</si>
  <si>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</si>
  <si>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</si>
  <si>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</si>
  <si>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</si>
  <si>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</si>
  <si>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</si>
  <si>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</si>
  <si>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</si>
  <si>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</si>
  <si>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</si>
  <si>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</si>
  <si>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</si>
  <si>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</si>
  <si>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</si>
  <si>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</si>
  <si>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Weighted Average Cost of Capital</t>
  </si>
  <si>
    <t>Peer Comps</t>
  </si>
  <si>
    <t>Name</t>
  </si>
  <si>
    <t>Country</t>
  </si>
  <si>
    <t>Total Debt</t>
  </si>
  <si>
    <t>Total Equity</t>
  </si>
  <si>
    <t>Debt/</t>
  </si>
  <si>
    <t>Equity</t>
  </si>
  <si>
    <t>Capital</t>
  </si>
  <si>
    <t>Levered</t>
  </si>
  <si>
    <t>Unlevered</t>
  </si>
  <si>
    <t>All figures are in INR unless stated otherwise.</t>
  </si>
  <si>
    <t>Tax Rate 1</t>
  </si>
  <si>
    <t>Beta 2</t>
  </si>
  <si>
    <t>Beta 3</t>
  </si>
  <si>
    <t>Hind. Unilever</t>
  </si>
  <si>
    <t>India</t>
  </si>
  <si>
    <t>Nestle India</t>
  </si>
  <si>
    <t>Britannia Inds.</t>
  </si>
  <si>
    <t>Godrej Consumer</t>
  </si>
  <si>
    <t>Dabur India</t>
  </si>
  <si>
    <t>Average</t>
  </si>
  <si>
    <t>Median</t>
  </si>
  <si>
    <t>Cost of Debt</t>
  </si>
  <si>
    <t>Cost of Equity</t>
  </si>
  <si>
    <t>Pre-tax Cost of Debt</t>
  </si>
  <si>
    <t>Risk Free Rate</t>
  </si>
  <si>
    <t>Tax Rate</t>
  </si>
  <si>
    <t>Equity Risk Premium</t>
  </si>
  <si>
    <t>After Tax Cost of Debt</t>
  </si>
  <si>
    <t>Levered Beta 4</t>
  </si>
  <si>
    <t>Capital Structure</t>
  </si>
  <si>
    <t xml:space="preserve">Levered Beta </t>
  </si>
  <si>
    <t>Current</t>
  </si>
  <si>
    <t>Target</t>
  </si>
  <si>
    <t>Comps Median Unlevered Beta</t>
  </si>
  <si>
    <t xml:space="preserve">Target Debt/ Equity  </t>
  </si>
  <si>
    <t>Total Capitalization</t>
  </si>
  <si>
    <t>Levered Beta</t>
  </si>
  <si>
    <t>Debt / Equity</t>
  </si>
  <si>
    <t>1. Tax Rate considered as Marginal Tax Rate for the country</t>
  </si>
  <si>
    <t>Total Cost</t>
  </si>
  <si>
    <t>Total Weight</t>
  </si>
  <si>
    <t>2. Levered Beta is based on 5 year monthly data</t>
  </si>
  <si>
    <t>Debt Capital</t>
  </si>
  <si>
    <t xml:space="preserve"> </t>
  </si>
  <si>
    <t>3. Unlevered Beta = Levered Beta/(1+(1-Tax Rate) x Debt/Equity)</t>
  </si>
  <si>
    <t>Equity Capital</t>
  </si>
  <si>
    <t>4. Levered Beta = Unlevered Beta*(1+(1-Tax Rate) x Debt/Equity)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</si>
</sst>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"/>
    <numFmt numFmtId="167" formatCode="&quot;₹&quot;\ #,##0.00"/>
    <numFmt numFmtId="168" formatCode="0.000000000"/>
    <numFmt numFmtId="169" formatCode="#,##0.00;\(#,##0.00\)"/>
    <numFmt numFmtId="170" formatCode="0.00%;\(0.00\)%"/>
    <numFmt numFmtId="171" formatCode="#,##0.0"/>
    <numFmt numFmtId="172" formatCode="0&quot;A&quot;"/>
    <numFmt numFmtId="173" formatCode="0&quot;E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77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166" fontId="0" fillId="0" borderId="0" xfId="0" applyNumberFormat="1"/>
    <xf numFmtId="0" fontId="7" fillId="0" borderId="0" xfId="0" applyFont="1"/>
    <xf numFmtId="4" fontId="0" fillId="0" borderId="0" xfId="0" applyNumberFormat="1"/>
    <xf numFmtId="167" fontId="0" fillId="0" borderId="0" xfId="0" applyNumberFormat="1"/>
    <xf numFmtId="10" fontId="7" fillId="0" borderId="0" xfId="4" applyNumberFormat="1" applyFont="1"/>
    <xf numFmtId="0" fontId="0" fillId="5" borderId="0" xfId="0" applyFill="1"/>
    <xf numFmtId="169" fontId="0" fillId="0" borderId="0" xfId="0" applyNumberFormat="1"/>
    <xf numFmtId="0" fontId="2" fillId="4" borderId="0" xfId="0" applyFont="1" applyFill="1" applyAlignment="1">
      <alignment wrapText="1"/>
    </xf>
    <xf numFmtId="17" fontId="2" fillId="4" borderId="0" xfId="0" applyNumberFormat="1" applyFont="1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0" fontId="7" fillId="0" borderId="0" xfId="0" applyFont="1" applyAlignment="1">
      <alignment wrapText="1"/>
    </xf>
    <xf numFmtId="10" fontId="7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10" fontId="7" fillId="0" borderId="0" xfId="4" applyNumberFormat="1" applyFont="1" applyAlignment="1">
      <alignment wrapText="1"/>
    </xf>
    <xf numFmtId="169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3" fontId="1" fillId="0" borderId="0" xfId="1" applyFont="1" applyBorder="1" applyAlignment="1">
      <alignment wrapText="1"/>
    </xf>
    <xf numFmtId="43" fontId="3" fillId="0" borderId="0" xfId="1" applyFont="1" applyBorder="1" applyAlignment="1">
      <alignment wrapText="1"/>
    </xf>
    <xf numFmtId="43" fontId="0" fillId="0" borderId="0" xfId="1" applyFont="1" applyBorder="1" applyAlignment="1">
      <alignment wrapText="1"/>
    </xf>
    <xf numFmtId="0" fontId="1" fillId="5" borderId="0" xfId="0" applyFont="1" applyFill="1" applyAlignment="1">
      <alignment wrapText="1"/>
    </xf>
    <xf numFmtId="169" fontId="1" fillId="0" borderId="0" xfId="0" applyNumberFormat="1" applyFont="1" applyAlignment="1">
      <alignment wrapText="1"/>
    </xf>
    <xf numFmtId="43" fontId="8" fillId="0" borderId="0" xfId="1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17" fontId="0" fillId="0" borderId="0" xfId="0" applyNumberFormat="1"/>
    <xf numFmtId="17" fontId="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169" fontId="0" fillId="0" borderId="1" xfId="0" applyNumberFormat="1" applyBorder="1"/>
    <xf numFmtId="169" fontId="0" fillId="0" borderId="1" xfId="0" applyNumberFormat="1" applyBorder="1" applyAlignment="1">
      <alignment wrapText="1"/>
    </xf>
    <xf numFmtId="169" fontId="1" fillId="0" borderId="1" xfId="0" applyNumberFormat="1" applyFont="1" applyBorder="1"/>
    <xf numFmtId="169" fontId="1" fillId="0" borderId="1" xfId="0" applyNumberFormat="1" applyFont="1" applyBorder="1" applyAlignment="1">
      <alignment wrapText="1"/>
    </xf>
    <xf numFmtId="0" fontId="1" fillId="0" borderId="1" xfId="0" applyFont="1" applyBorder="1"/>
    <xf numFmtId="43" fontId="1" fillId="0" borderId="1" xfId="1" applyFont="1" applyBorder="1" applyAlignment="1">
      <alignment wrapText="1"/>
    </xf>
    <xf numFmtId="170" fontId="7" fillId="0" borderId="0" xfId="4" applyNumberFormat="1" applyFont="1" applyAlignment="1">
      <alignment wrapText="1"/>
    </xf>
    <xf numFmtId="170" fontId="0" fillId="0" borderId="0" xfId="4" applyNumberFormat="1" applyFont="1"/>
    <xf numFmtId="170" fontId="0" fillId="0" borderId="0" xfId="4" applyNumberFormat="1" applyFont="1" applyAlignment="1">
      <alignment wrapText="1"/>
    </xf>
    <xf numFmtId="171" fontId="0" fillId="0" borderId="0" xfId="0" applyNumberFormat="1"/>
    <xf numFmtId="0" fontId="0" fillId="0" borderId="0" xfId="0" applyAlignment="1">
      <alignment horizontal="left" vertical="center"/>
    </xf>
    <xf numFmtId="17" fontId="5" fillId="4" borderId="0" xfId="0" applyNumberFormat="1" applyFont="1" applyFill="1" applyAlignment="1">
      <alignment horizontal="left"/>
    </xf>
    <xf numFmtId="17" fontId="5" fillId="4" borderId="0" xfId="0" applyNumberFormat="1" applyFont="1" applyFill="1" applyAlignment="1">
      <alignment horizontal="right"/>
    </xf>
    <xf numFmtId="171" fontId="11" fillId="0" borderId="0" xfId="0" applyNumberFormat="1" applyFont="1" applyAlignment="1">
      <alignment horizontal="right"/>
    </xf>
    <xf numFmtId="17" fontId="5" fillId="4" borderId="0" xfId="0" applyNumberFormat="1" applyFont="1" applyFill="1"/>
    <xf numFmtId="10" fontId="0" fillId="0" borderId="0" xfId="4" applyNumberFormat="1" applyFont="1"/>
    <xf numFmtId="10" fontId="0" fillId="0" borderId="0" xfId="0" applyNumberFormat="1"/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0" fontId="0" fillId="0" borderId="2" xfId="0" applyBorder="1"/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Continuous"/>
    </xf>
    <xf numFmtId="171" fontId="0" fillId="0" borderId="0" xfId="0" applyNumberFormat="1" applyAlignment="1">
      <alignment horizontal="right"/>
    </xf>
    <xf numFmtId="0" fontId="12" fillId="6" borderId="0" xfId="0" applyFont="1" applyFill="1"/>
    <xf numFmtId="0" fontId="13" fillId="0" borderId="0" xfId="0" applyFont="1"/>
    <xf numFmtId="0" fontId="0" fillId="0" borderId="4" xfId="0" applyBorder="1"/>
    <xf numFmtId="0" fontId="0" fillId="0" borderId="5" xfId="0" applyBorder="1"/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3333FF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66" sqref="B66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34</v>
      </c>
      <c r="E1" s="74" t="str">
        <f>IF(B2&lt;&gt;B3, "A NEW VERSION OF THE WORKSHEET IS AVAILABLE", "")</f>
        <v/>
      </c>
      <c r="F1" s="74"/>
      <c r="G1" s="74"/>
      <c r="H1" s="74"/>
      <c r="I1" s="74"/>
      <c r="J1" s="74"/>
      <c r="K1" s="74"/>
    </row>
    <row r="2" spans="1:11" x14ac:dyDescent="0.35">
      <c r="A2" s="1" t="s">
        <v>32</v>
      </c>
      <c r="B2" s="2">
        <v>2.1</v>
      </c>
      <c r="E2" s="75" t="s">
        <v>22</v>
      </c>
      <c r="F2" s="75"/>
      <c r="G2" s="75"/>
      <c r="H2" s="75"/>
      <c r="I2" s="75"/>
      <c r="J2" s="75"/>
      <c r="K2" s="75"/>
    </row>
    <row r="3" spans="1:11" x14ac:dyDescent="0.35">
      <c r="A3" s="1" t="s">
        <v>33</v>
      </c>
      <c r="B3" s="2">
        <v>2.1</v>
      </c>
    </row>
    <row r="4" spans="1:11" x14ac:dyDescent="0.35">
      <c r="A4" s="1"/>
    </row>
    <row r="5" spans="1:11" x14ac:dyDescent="0.35">
      <c r="A5" s="1" t="s">
        <v>35</v>
      </c>
    </row>
    <row r="6" spans="1:11" x14ac:dyDescent="0.35">
      <c r="A6" s="2" t="s">
        <v>28</v>
      </c>
      <c r="B6" s="2">
        <f>IF(B9&gt;0, B9/B8, 0)</f>
        <v>366.52542108546481</v>
      </c>
    </row>
    <row r="7" spans="1:11" x14ac:dyDescent="0.35">
      <c r="A7" s="2" t="s">
        <v>17</v>
      </c>
      <c r="B7">
        <v>2</v>
      </c>
    </row>
    <row r="8" spans="1:11" x14ac:dyDescent="0.35">
      <c r="A8" s="2" t="s">
        <v>29</v>
      </c>
      <c r="B8">
        <v>961.8</v>
      </c>
    </row>
    <row r="9" spans="1:11" x14ac:dyDescent="0.35">
      <c r="A9" s="2" t="s">
        <v>45</v>
      </c>
      <c r="B9">
        <v>352524.15</v>
      </c>
    </row>
    <row r="15" spans="1:11" x14ac:dyDescent="0.35">
      <c r="A15" s="1" t="s">
        <v>23</v>
      </c>
    </row>
    <row r="16" spans="1:11" s="6" customFormat="1" x14ac:dyDescent="0.35">
      <c r="A16" s="5" t="s">
        <v>24</v>
      </c>
      <c r="B16" s="4">
        <v>42094</v>
      </c>
      <c r="C16" s="4">
        <v>42460</v>
      </c>
      <c r="D16" s="4">
        <v>42825</v>
      </c>
      <c r="E16" s="4">
        <v>43190</v>
      </c>
      <c r="F16" s="4">
        <v>43555</v>
      </c>
      <c r="G16" s="4">
        <v>43921</v>
      </c>
      <c r="H16" s="4">
        <v>44286</v>
      </c>
      <c r="I16" s="4">
        <v>44651</v>
      </c>
      <c r="J16" s="4">
        <v>45016</v>
      </c>
      <c r="K16" s="4">
        <v>45382</v>
      </c>
    </row>
    <row r="17" spans="1:11" s="3" customFormat="1" x14ac:dyDescent="0.35">
      <c r="A17" s="3" t="s">
        <v>1</v>
      </c>
      <c r="B17">
        <v>263158.98</v>
      </c>
      <c r="C17">
        <v>273045.59999999998</v>
      </c>
      <c r="D17">
        <v>269692.51</v>
      </c>
      <c r="E17">
        <v>291550.48</v>
      </c>
      <c r="F17">
        <v>301938.40000000002</v>
      </c>
      <c r="G17">
        <v>261067.97</v>
      </c>
      <c r="H17">
        <v>249794.75</v>
      </c>
      <c r="I17">
        <v>278453.62</v>
      </c>
      <c r="J17">
        <v>345966.97</v>
      </c>
      <c r="K17">
        <v>437927.77</v>
      </c>
    </row>
    <row r="18" spans="1:11" s="3" customFormat="1" x14ac:dyDescent="0.35">
      <c r="A18" s="2" t="s">
        <v>46</v>
      </c>
      <c r="B18">
        <v>163250.35999999999</v>
      </c>
      <c r="C18">
        <v>166134.01</v>
      </c>
      <c r="D18">
        <v>173294.07999999999</v>
      </c>
      <c r="E18">
        <v>187896.58</v>
      </c>
      <c r="F18">
        <v>194267.91</v>
      </c>
      <c r="G18">
        <v>164899.82</v>
      </c>
      <c r="H18">
        <v>153607.35999999999</v>
      </c>
      <c r="I18">
        <v>179295.33</v>
      </c>
      <c r="J18">
        <v>231251.26</v>
      </c>
      <c r="K18">
        <v>274321.23</v>
      </c>
    </row>
    <row r="19" spans="1:11" s="3" customFormat="1" x14ac:dyDescent="0.35">
      <c r="A19" s="2" t="s">
        <v>47</v>
      </c>
      <c r="B19">
        <v>3330.35</v>
      </c>
      <c r="C19">
        <v>2750.99</v>
      </c>
      <c r="D19">
        <v>7399.92</v>
      </c>
      <c r="E19">
        <v>2046.58</v>
      </c>
      <c r="F19">
        <v>-2053.2800000000002</v>
      </c>
      <c r="G19">
        <v>-2231.19</v>
      </c>
      <c r="H19">
        <v>-4684.16</v>
      </c>
      <c r="I19">
        <v>-1590.49</v>
      </c>
      <c r="J19">
        <v>4781.62</v>
      </c>
      <c r="K19">
        <v>1565.53</v>
      </c>
    </row>
    <row r="20" spans="1:11" s="3" customFormat="1" x14ac:dyDescent="0.35">
      <c r="A20" s="2" t="s">
        <v>48</v>
      </c>
      <c r="B20">
        <v>1121.75</v>
      </c>
      <c r="C20">
        <v>1143.6300000000001</v>
      </c>
      <c r="D20">
        <v>1159.82</v>
      </c>
      <c r="E20">
        <v>1308.08</v>
      </c>
      <c r="F20">
        <v>1585.93</v>
      </c>
      <c r="G20">
        <v>1264.95</v>
      </c>
      <c r="H20">
        <v>1112.8699999999999</v>
      </c>
      <c r="I20">
        <v>2178.29</v>
      </c>
      <c r="J20">
        <v>2513.33</v>
      </c>
      <c r="K20">
        <v>2195.12</v>
      </c>
    </row>
    <row r="21" spans="1:11" s="3" customFormat="1" x14ac:dyDescent="0.35">
      <c r="A21" s="2" t="s">
        <v>49</v>
      </c>
      <c r="B21">
        <v>16173.17</v>
      </c>
      <c r="C21">
        <v>12101.53</v>
      </c>
      <c r="D21">
        <v>10067.370000000001</v>
      </c>
      <c r="E21">
        <v>10971.66</v>
      </c>
      <c r="F21">
        <v>11694.54</v>
      </c>
      <c r="G21">
        <v>11541.51</v>
      </c>
      <c r="H21">
        <v>8273.17</v>
      </c>
      <c r="I21">
        <v>9427.3799999999992</v>
      </c>
      <c r="J21">
        <v>11765.97</v>
      </c>
      <c r="K21">
        <v>17114.330000000002</v>
      </c>
    </row>
    <row r="22" spans="1:11" s="3" customFormat="1" x14ac:dyDescent="0.35">
      <c r="A22" s="2" t="s">
        <v>50</v>
      </c>
      <c r="B22">
        <v>25641.95</v>
      </c>
      <c r="C22">
        <v>28880.89</v>
      </c>
      <c r="D22">
        <v>28332.89</v>
      </c>
      <c r="E22">
        <v>30300.09</v>
      </c>
      <c r="F22">
        <v>33243.870000000003</v>
      </c>
      <c r="G22">
        <v>30438.6</v>
      </c>
      <c r="H22">
        <v>27648.48</v>
      </c>
      <c r="I22">
        <v>30808.52</v>
      </c>
      <c r="J22">
        <v>33654.699999999997</v>
      </c>
      <c r="K22">
        <v>42486.64</v>
      </c>
    </row>
    <row r="23" spans="1:11" s="3" customFormat="1" x14ac:dyDescent="0.35">
      <c r="A23" s="2" t="s">
        <v>51</v>
      </c>
      <c r="B23">
        <v>23603.01</v>
      </c>
      <c r="C23">
        <v>21991.9</v>
      </c>
      <c r="D23">
        <v>30039.38</v>
      </c>
      <c r="E23">
        <v>31004.58</v>
      </c>
      <c r="F23">
        <v>32719.8</v>
      </c>
      <c r="G23">
        <v>29248.32</v>
      </c>
      <c r="H23">
        <v>23015.79</v>
      </c>
      <c r="I23">
        <v>29205.4</v>
      </c>
      <c r="J23">
        <v>34839.19</v>
      </c>
      <c r="K23">
        <v>42765.33</v>
      </c>
    </row>
    <row r="24" spans="1:11" s="3" customFormat="1" x14ac:dyDescent="0.35">
      <c r="A24" s="2" t="s">
        <v>52</v>
      </c>
      <c r="B24">
        <v>-2539.56</v>
      </c>
      <c r="C24">
        <v>7149.38</v>
      </c>
      <c r="D24">
        <v>4610.2</v>
      </c>
      <c r="E24">
        <v>658.39</v>
      </c>
      <c r="F24">
        <v>1708.74</v>
      </c>
      <c r="G24">
        <v>3456.51</v>
      </c>
      <c r="H24">
        <v>-834.51</v>
      </c>
      <c r="I24">
        <v>1228.1199999999999</v>
      </c>
      <c r="J24">
        <v>4908.34</v>
      </c>
      <c r="K24">
        <v>1072.31</v>
      </c>
    </row>
    <row r="25" spans="1:11" s="3" customFormat="1" x14ac:dyDescent="0.35">
      <c r="A25" s="3" t="s">
        <v>4</v>
      </c>
      <c r="B25">
        <v>714.03</v>
      </c>
      <c r="C25">
        <v>-2669.62</v>
      </c>
      <c r="D25">
        <v>1869.1</v>
      </c>
      <c r="E25">
        <v>5932.73</v>
      </c>
      <c r="F25">
        <v>-26686.25</v>
      </c>
      <c r="G25">
        <v>101.71</v>
      </c>
      <c r="H25">
        <v>-11117.83</v>
      </c>
      <c r="I25">
        <v>2424.0500000000002</v>
      </c>
      <c r="J25">
        <v>6663.97</v>
      </c>
      <c r="K25">
        <v>5672.66</v>
      </c>
    </row>
    <row r="26" spans="1:11" s="3" customFormat="1" x14ac:dyDescent="0.35">
      <c r="A26" s="3" t="s">
        <v>5</v>
      </c>
      <c r="B26">
        <v>13388.63</v>
      </c>
      <c r="C26">
        <v>16710.78</v>
      </c>
      <c r="D26">
        <v>17904.990000000002</v>
      </c>
      <c r="E26">
        <v>21553.59</v>
      </c>
      <c r="F26">
        <v>23590.63</v>
      </c>
      <c r="G26">
        <v>21425.43</v>
      </c>
      <c r="H26">
        <v>23546.71</v>
      </c>
      <c r="I26">
        <v>24835.69</v>
      </c>
      <c r="J26">
        <v>24860.36</v>
      </c>
      <c r="K26">
        <v>27270.13</v>
      </c>
    </row>
    <row r="27" spans="1:11" s="3" customFormat="1" x14ac:dyDescent="0.35">
      <c r="A27" s="3" t="s">
        <v>6</v>
      </c>
      <c r="B27">
        <v>4861.49</v>
      </c>
      <c r="C27">
        <v>4889.08</v>
      </c>
      <c r="D27">
        <v>4238.01</v>
      </c>
      <c r="E27">
        <v>4681.79</v>
      </c>
      <c r="F27">
        <v>5758.6</v>
      </c>
      <c r="G27">
        <v>7243.33</v>
      </c>
      <c r="H27">
        <v>8097.17</v>
      </c>
      <c r="I27">
        <v>9311.86</v>
      </c>
      <c r="J27">
        <v>10225.48</v>
      </c>
      <c r="K27">
        <v>9985.76</v>
      </c>
    </row>
    <row r="28" spans="1:11" s="3" customFormat="1" x14ac:dyDescent="0.35">
      <c r="A28" s="3" t="s">
        <v>7</v>
      </c>
      <c r="B28">
        <v>21702.560000000001</v>
      </c>
      <c r="C28">
        <v>14125.77</v>
      </c>
      <c r="D28">
        <v>9314.7900000000009</v>
      </c>
      <c r="E28">
        <v>11155.03</v>
      </c>
      <c r="F28">
        <v>-31371.15</v>
      </c>
      <c r="G28">
        <v>-10579.98</v>
      </c>
      <c r="H28">
        <v>-10474.280000000001</v>
      </c>
      <c r="I28">
        <v>-7003.41</v>
      </c>
      <c r="J28">
        <v>3393.93</v>
      </c>
      <c r="K28">
        <v>27955.11</v>
      </c>
    </row>
    <row r="29" spans="1:11" s="3" customFormat="1" x14ac:dyDescent="0.35">
      <c r="A29" s="3" t="s">
        <v>8</v>
      </c>
      <c r="B29">
        <v>7642.91</v>
      </c>
      <c r="C29">
        <v>3025.05</v>
      </c>
      <c r="D29">
        <v>3251.23</v>
      </c>
      <c r="E29">
        <v>4341.93</v>
      </c>
      <c r="F29">
        <v>-2437.4499999999998</v>
      </c>
      <c r="G29">
        <v>395.25</v>
      </c>
      <c r="H29">
        <v>2541.86</v>
      </c>
      <c r="I29">
        <v>4231.29</v>
      </c>
      <c r="J29">
        <v>704.06</v>
      </c>
      <c r="K29">
        <v>-3851.64</v>
      </c>
    </row>
    <row r="30" spans="1:11" s="3" customFormat="1" x14ac:dyDescent="0.35">
      <c r="A30" s="3" t="s">
        <v>9</v>
      </c>
      <c r="B30">
        <v>13986.29</v>
      </c>
      <c r="C30">
        <v>11579.31</v>
      </c>
      <c r="D30">
        <v>7454.36</v>
      </c>
      <c r="E30">
        <v>8988.91</v>
      </c>
      <c r="F30">
        <v>-28826.23</v>
      </c>
      <c r="G30">
        <v>-12070.85</v>
      </c>
      <c r="H30">
        <v>-13451.39</v>
      </c>
      <c r="I30">
        <v>-11441.47</v>
      </c>
      <c r="J30">
        <v>2414.29</v>
      </c>
      <c r="K30">
        <v>31399.09</v>
      </c>
    </row>
    <row r="31" spans="1:11" s="3" customFormat="1" x14ac:dyDescent="0.35">
      <c r="A31" s="3" t="s">
        <v>36</v>
      </c>
      <c r="C31">
        <v>67.92</v>
      </c>
      <c r="J31">
        <v>766.02</v>
      </c>
      <c r="K31">
        <v>4675.6499999999996</v>
      </c>
    </row>
    <row r="32" spans="1:11" s="3" customFormat="1" x14ac:dyDescent="0.35"/>
    <row r="33" spans="1:11" x14ac:dyDescent="0.35">
      <c r="A33" s="3"/>
    </row>
    <row r="34" spans="1:11" x14ac:dyDescent="0.35">
      <c r="A34" s="3"/>
    </row>
    <row r="35" spans="1:11" x14ac:dyDescent="0.35">
      <c r="A35" s="3"/>
    </row>
    <row r="36" spans="1:11" x14ac:dyDescent="0.35">
      <c r="A36" s="3"/>
    </row>
    <row r="37" spans="1:11" x14ac:dyDescent="0.35">
      <c r="A37" s="3"/>
    </row>
    <row r="38" spans="1:11" x14ac:dyDescent="0.35">
      <c r="A38" s="3"/>
    </row>
    <row r="39" spans="1:11" x14ac:dyDescent="0.35">
      <c r="A39" s="3"/>
    </row>
    <row r="40" spans="1:11" x14ac:dyDescent="0.35">
      <c r="A40" s="1" t="s">
        <v>25</v>
      </c>
    </row>
    <row r="41" spans="1:11" s="6" customFormat="1" x14ac:dyDescent="0.35">
      <c r="A41" s="5" t="s">
        <v>24</v>
      </c>
      <c r="B41" s="4">
        <v>44561</v>
      </c>
      <c r="C41" s="4">
        <v>44651</v>
      </c>
      <c r="D41" s="4">
        <v>44742</v>
      </c>
      <c r="E41" s="4">
        <v>44834</v>
      </c>
      <c r="F41" s="4">
        <v>44926</v>
      </c>
      <c r="G41" s="4">
        <v>45016</v>
      </c>
      <c r="H41" s="4">
        <v>45107</v>
      </c>
      <c r="I41" s="4">
        <v>45199</v>
      </c>
      <c r="J41" s="4">
        <v>45291</v>
      </c>
      <c r="K41" s="4">
        <v>45382</v>
      </c>
    </row>
    <row r="42" spans="1:11" s="3" customFormat="1" x14ac:dyDescent="0.35">
      <c r="A42" s="3" t="s">
        <v>1</v>
      </c>
      <c r="B42">
        <v>72229.289999999994</v>
      </c>
      <c r="C42">
        <v>78439.06</v>
      </c>
      <c r="D42">
        <v>71934.66</v>
      </c>
      <c r="E42">
        <v>79611.37</v>
      </c>
      <c r="F42">
        <v>88488.59</v>
      </c>
      <c r="G42">
        <v>105932.35</v>
      </c>
      <c r="H42">
        <v>102236.08</v>
      </c>
      <c r="I42">
        <v>105128.24</v>
      </c>
      <c r="J42">
        <v>110577.14</v>
      </c>
      <c r="K42">
        <v>119986.31</v>
      </c>
    </row>
    <row r="43" spans="1:11" s="3" customFormat="1" x14ac:dyDescent="0.35">
      <c r="A43" s="3" t="s">
        <v>2</v>
      </c>
      <c r="B43">
        <v>65151.27</v>
      </c>
      <c r="C43">
        <v>70156.27</v>
      </c>
      <c r="D43">
        <v>69521.929999999993</v>
      </c>
      <c r="E43">
        <v>74039.06</v>
      </c>
      <c r="F43">
        <v>77668.350000000006</v>
      </c>
      <c r="G43">
        <v>92817.95</v>
      </c>
      <c r="H43">
        <v>89018.36</v>
      </c>
      <c r="I43">
        <v>91361.3</v>
      </c>
      <c r="J43">
        <v>95158.77</v>
      </c>
      <c r="K43">
        <v>102851</v>
      </c>
    </row>
    <row r="44" spans="1:11" s="3" customFormat="1" x14ac:dyDescent="0.35">
      <c r="A44" s="3" t="s">
        <v>4</v>
      </c>
      <c r="B44">
        <v>788.73</v>
      </c>
      <c r="C44">
        <v>188.74</v>
      </c>
      <c r="D44">
        <v>2380.98</v>
      </c>
      <c r="E44">
        <v>1351.14</v>
      </c>
      <c r="F44">
        <v>1129.98</v>
      </c>
      <c r="G44">
        <v>1452.86</v>
      </c>
      <c r="H44">
        <v>683.56</v>
      </c>
      <c r="I44">
        <v>1507.05</v>
      </c>
      <c r="J44">
        <v>1603.76</v>
      </c>
      <c r="K44">
        <v>1618.3</v>
      </c>
    </row>
    <row r="45" spans="1:11" s="3" customFormat="1" x14ac:dyDescent="0.35">
      <c r="A45" s="3" t="s">
        <v>5</v>
      </c>
      <c r="B45">
        <v>6078.13</v>
      </c>
      <c r="C45">
        <v>6432.11</v>
      </c>
      <c r="D45">
        <v>5841.04</v>
      </c>
      <c r="E45">
        <v>5897.34</v>
      </c>
      <c r="F45">
        <v>6071.78</v>
      </c>
      <c r="G45">
        <v>7050.2</v>
      </c>
      <c r="H45">
        <v>6633.18</v>
      </c>
      <c r="I45">
        <v>6636.42</v>
      </c>
      <c r="J45">
        <v>6850</v>
      </c>
      <c r="K45">
        <v>7150.53</v>
      </c>
    </row>
    <row r="46" spans="1:11" s="3" customFormat="1" x14ac:dyDescent="0.35">
      <c r="A46" s="3" t="s">
        <v>6</v>
      </c>
      <c r="B46">
        <v>2400.7399999999998</v>
      </c>
      <c r="C46">
        <v>2380.52</v>
      </c>
      <c r="D46">
        <v>2420.7199999999998</v>
      </c>
      <c r="E46">
        <v>2487.2600000000002</v>
      </c>
      <c r="F46">
        <v>2675.83</v>
      </c>
      <c r="G46">
        <v>2641.67</v>
      </c>
      <c r="H46">
        <v>2615.39</v>
      </c>
      <c r="I46">
        <v>2651.69</v>
      </c>
      <c r="J46">
        <v>2484.91</v>
      </c>
      <c r="K46">
        <v>2233.77</v>
      </c>
    </row>
    <row r="47" spans="1:11" s="3" customFormat="1" x14ac:dyDescent="0.35">
      <c r="A47" s="3" t="s">
        <v>7</v>
      </c>
      <c r="B47">
        <v>-612.12</v>
      </c>
      <c r="C47">
        <v>-341.1</v>
      </c>
      <c r="D47">
        <v>-3468.05</v>
      </c>
      <c r="E47">
        <v>-1461.15</v>
      </c>
      <c r="F47">
        <v>3202.61</v>
      </c>
      <c r="G47">
        <v>4875.3900000000003</v>
      </c>
      <c r="H47">
        <v>4652.71</v>
      </c>
      <c r="I47">
        <v>5985.88</v>
      </c>
      <c r="J47">
        <v>7687.22</v>
      </c>
      <c r="K47">
        <v>9369.31</v>
      </c>
    </row>
    <row r="48" spans="1:11" s="3" customFormat="1" x14ac:dyDescent="0.35">
      <c r="A48" s="3" t="s">
        <v>8</v>
      </c>
      <c r="B48">
        <v>726.05</v>
      </c>
      <c r="C48">
        <v>758.22</v>
      </c>
      <c r="D48">
        <v>1518.96</v>
      </c>
      <c r="E48">
        <v>-457.08</v>
      </c>
      <c r="F48">
        <v>262.83</v>
      </c>
      <c r="G48">
        <v>-620.65</v>
      </c>
      <c r="H48">
        <v>1563.01</v>
      </c>
      <c r="I48">
        <v>2202.84</v>
      </c>
      <c r="J48">
        <v>541.79</v>
      </c>
      <c r="K48">
        <v>-8159.28</v>
      </c>
    </row>
    <row r="49" spans="1:11" s="3" customFormat="1" x14ac:dyDescent="0.35">
      <c r="A49" s="3" t="s">
        <v>9</v>
      </c>
      <c r="B49">
        <v>-1516.14</v>
      </c>
      <c r="C49">
        <v>-1032.8399999999999</v>
      </c>
      <c r="D49">
        <v>-5006.6000000000004</v>
      </c>
      <c r="E49">
        <v>-944.61</v>
      </c>
      <c r="F49">
        <v>2957.71</v>
      </c>
      <c r="G49">
        <v>5407.79</v>
      </c>
      <c r="H49">
        <v>3202.8</v>
      </c>
      <c r="I49">
        <v>3764</v>
      </c>
      <c r="J49">
        <v>7025.11</v>
      </c>
      <c r="K49">
        <v>17407.18</v>
      </c>
    </row>
    <row r="50" spans="1:11" x14ac:dyDescent="0.35">
      <c r="A50" s="3" t="s">
        <v>3</v>
      </c>
      <c r="B50">
        <v>7078.02</v>
      </c>
      <c r="C50">
        <v>8282.7900000000009</v>
      </c>
      <c r="D50">
        <v>2412.73</v>
      </c>
      <c r="E50">
        <v>5572.31</v>
      </c>
      <c r="F50">
        <v>10820.24</v>
      </c>
      <c r="G50">
        <v>13114.4</v>
      </c>
      <c r="H50">
        <v>13217.72</v>
      </c>
      <c r="I50">
        <v>13766.94</v>
      </c>
      <c r="J50">
        <v>15418.37</v>
      </c>
      <c r="K50">
        <v>17135.310000000001</v>
      </c>
    </row>
    <row r="51" spans="1:11" x14ac:dyDescent="0.35">
      <c r="A51" s="3"/>
    </row>
    <row r="52" spans="1:11" x14ac:dyDescent="0.35">
      <c r="A52" s="3"/>
    </row>
    <row r="53" spans="1:11" x14ac:dyDescent="0.35">
      <c r="A53" s="3"/>
    </row>
    <row r="54" spans="1:11" x14ac:dyDescent="0.35">
      <c r="A54" s="3"/>
    </row>
    <row r="55" spans="1:11" x14ac:dyDescent="0.35">
      <c r="A55" s="1" t="s">
        <v>26</v>
      </c>
    </row>
    <row r="56" spans="1:11" s="6" customFormat="1" x14ac:dyDescent="0.35">
      <c r="A56" s="5" t="s">
        <v>24</v>
      </c>
      <c r="B56" s="4">
        <v>42094</v>
      </c>
      <c r="C56" s="4">
        <v>42460</v>
      </c>
      <c r="D56" s="4">
        <v>42825</v>
      </c>
      <c r="E56" s="4">
        <v>43190</v>
      </c>
      <c r="F56" s="4">
        <v>43555</v>
      </c>
      <c r="G56" s="4">
        <v>43921</v>
      </c>
      <c r="H56" s="4">
        <v>44286</v>
      </c>
      <c r="I56" s="4">
        <v>44651</v>
      </c>
      <c r="J56" s="4">
        <v>45016</v>
      </c>
      <c r="K56" s="4">
        <v>45382</v>
      </c>
    </row>
    <row r="57" spans="1:11" x14ac:dyDescent="0.35">
      <c r="A57" s="3" t="s">
        <v>11</v>
      </c>
      <c r="B57">
        <v>643.78</v>
      </c>
      <c r="C57">
        <v>679.18</v>
      </c>
      <c r="D57">
        <v>679.22</v>
      </c>
      <c r="E57">
        <v>679.22</v>
      </c>
      <c r="F57">
        <v>679.22</v>
      </c>
      <c r="G57">
        <v>719.54</v>
      </c>
      <c r="H57">
        <v>765.81</v>
      </c>
      <c r="I57">
        <v>765.88</v>
      </c>
      <c r="J57">
        <v>766.02</v>
      </c>
      <c r="K57">
        <v>766.5</v>
      </c>
    </row>
    <row r="58" spans="1:11" x14ac:dyDescent="0.35">
      <c r="A58" s="3" t="s">
        <v>12</v>
      </c>
      <c r="B58">
        <v>55618.14</v>
      </c>
      <c r="C58">
        <v>78273.23</v>
      </c>
      <c r="D58">
        <v>57382.67</v>
      </c>
      <c r="E58">
        <v>94748.69</v>
      </c>
      <c r="F58">
        <v>59500.34</v>
      </c>
      <c r="G58">
        <v>61491.49</v>
      </c>
      <c r="H58">
        <v>54480.91</v>
      </c>
      <c r="I58">
        <v>43795.360000000001</v>
      </c>
      <c r="J58">
        <v>44555.77</v>
      </c>
      <c r="K58">
        <v>84151.52</v>
      </c>
    </row>
    <row r="59" spans="1:11" x14ac:dyDescent="0.35">
      <c r="A59" s="3" t="s">
        <v>37</v>
      </c>
      <c r="B59">
        <v>73610.39</v>
      </c>
      <c r="C59">
        <v>69359.960000000006</v>
      </c>
      <c r="D59">
        <v>78603.98</v>
      </c>
      <c r="E59">
        <v>88950.47</v>
      </c>
      <c r="F59">
        <v>106175.34</v>
      </c>
      <c r="G59">
        <v>124787.64</v>
      </c>
      <c r="H59">
        <v>142130.57</v>
      </c>
      <c r="I59">
        <v>146449.03</v>
      </c>
      <c r="J59">
        <v>134113.44</v>
      </c>
      <c r="K59">
        <v>107262.5</v>
      </c>
    </row>
    <row r="60" spans="1:11" x14ac:dyDescent="0.35">
      <c r="A60" s="3" t="s">
        <v>38</v>
      </c>
      <c r="B60">
        <v>107442.48</v>
      </c>
      <c r="C60">
        <v>114871.75</v>
      </c>
      <c r="D60">
        <v>135914.49</v>
      </c>
      <c r="E60">
        <v>142813.43</v>
      </c>
      <c r="F60">
        <v>139348.59</v>
      </c>
      <c r="G60">
        <v>133180.72</v>
      </c>
      <c r="H60">
        <v>144192.62</v>
      </c>
      <c r="I60">
        <v>138051.22</v>
      </c>
      <c r="J60">
        <v>155239.20000000001</v>
      </c>
      <c r="K60">
        <v>177340.09</v>
      </c>
    </row>
    <row r="61" spans="1:11" s="1" customFormat="1" x14ac:dyDescent="0.35">
      <c r="A61" s="1" t="s">
        <v>13</v>
      </c>
      <c r="B61">
        <v>237314.79</v>
      </c>
      <c r="C61">
        <v>263184.12</v>
      </c>
      <c r="D61">
        <v>272580.36</v>
      </c>
      <c r="E61">
        <v>327191.81</v>
      </c>
      <c r="F61">
        <v>305703.49</v>
      </c>
      <c r="G61">
        <v>320179.39</v>
      </c>
      <c r="H61">
        <v>341569.91</v>
      </c>
      <c r="I61">
        <v>329061.49</v>
      </c>
      <c r="J61">
        <v>334674.43</v>
      </c>
      <c r="K61">
        <v>369520.61</v>
      </c>
    </row>
    <row r="62" spans="1:11" x14ac:dyDescent="0.35">
      <c r="A62" s="3" t="s">
        <v>14</v>
      </c>
      <c r="B62">
        <v>88479.49</v>
      </c>
      <c r="C62">
        <v>107231.76</v>
      </c>
      <c r="D62">
        <v>95944.08</v>
      </c>
      <c r="E62">
        <v>121413.86</v>
      </c>
      <c r="F62">
        <v>111234.47</v>
      </c>
      <c r="G62">
        <v>127107.14</v>
      </c>
      <c r="H62">
        <v>138707.60999999999</v>
      </c>
      <c r="I62">
        <v>138855.45000000001</v>
      </c>
      <c r="J62">
        <v>132079.76</v>
      </c>
      <c r="K62">
        <v>121285.46</v>
      </c>
    </row>
    <row r="63" spans="1:11" x14ac:dyDescent="0.35">
      <c r="A63" s="3" t="s">
        <v>15</v>
      </c>
      <c r="B63">
        <v>28640.09</v>
      </c>
      <c r="C63">
        <v>25918.94</v>
      </c>
      <c r="D63">
        <v>33698.839999999997</v>
      </c>
      <c r="E63">
        <v>40033.5</v>
      </c>
      <c r="F63">
        <v>31883.84</v>
      </c>
      <c r="G63">
        <v>35622.29</v>
      </c>
      <c r="H63">
        <v>20963.93</v>
      </c>
      <c r="I63">
        <v>10251.09</v>
      </c>
      <c r="J63">
        <v>14274.5</v>
      </c>
      <c r="K63">
        <v>35698.43</v>
      </c>
    </row>
    <row r="64" spans="1:11" x14ac:dyDescent="0.35">
      <c r="A64" s="3" t="s">
        <v>16</v>
      </c>
      <c r="B64">
        <v>15336.74</v>
      </c>
      <c r="C64">
        <v>23767.02</v>
      </c>
      <c r="D64">
        <v>20337.919999999998</v>
      </c>
      <c r="E64">
        <v>20812.75</v>
      </c>
      <c r="F64">
        <v>15770.72</v>
      </c>
      <c r="G64">
        <v>16308.48</v>
      </c>
      <c r="H64">
        <v>24620.28</v>
      </c>
      <c r="I64">
        <v>29379.53</v>
      </c>
      <c r="J64">
        <v>26379.16</v>
      </c>
      <c r="K64">
        <v>22971.07</v>
      </c>
    </row>
    <row r="65" spans="1:11" x14ac:dyDescent="0.35">
      <c r="A65" s="3" t="s">
        <v>39</v>
      </c>
      <c r="B65">
        <v>104858.47</v>
      </c>
      <c r="C65">
        <v>106266.4</v>
      </c>
      <c r="D65">
        <v>122599.52</v>
      </c>
      <c r="E65">
        <v>144931.70000000001</v>
      </c>
      <c r="F65">
        <v>146814.46</v>
      </c>
      <c r="G65">
        <v>141141.48000000001</v>
      </c>
      <c r="H65">
        <v>157278.09</v>
      </c>
      <c r="I65">
        <v>150575.42000000001</v>
      </c>
      <c r="J65">
        <v>161941.01</v>
      </c>
      <c r="K65">
        <v>189565.65</v>
      </c>
    </row>
    <row r="66" spans="1:11" s="1" customFormat="1" x14ac:dyDescent="0.35">
      <c r="A66" s="1" t="s">
        <v>13</v>
      </c>
      <c r="B66">
        <v>237314.79</v>
      </c>
      <c r="C66">
        <v>263184.12</v>
      </c>
      <c r="D66">
        <v>272580.36</v>
      </c>
      <c r="E66">
        <v>327191.81</v>
      </c>
      <c r="F66">
        <v>305703.49</v>
      </c>
      <c r="G66">
        <v>320179.39</v>
      </c>
      <c r="H66">
        <v>341569.91</v>
      </c>
      <c r="I66">
        <v>329061.49</v>
      </c>
      <c r="J66">
        <v>334674.43</v>
      </c>
      <c r="K66">
        <v>369520.61</v>
      </c>
    </row>
    <row r="67" spans="1:11" s="3" customFormat="1" x14ac:dyDescent="0.35">
      <c r="A67" s="3" t="s">
        <v>44</v>
      </c>
      <c r="B67">
        <v>12579.2</v>
      </c>
      <c r="C67">
        <v>13570.91</v>
      </c>
      <c r="D67">
        <v>14075.55</v>
      </c>
      <c r="E67">
        <v>19893.3</v>
      </c>
      <c r="F67">
        <v>18996.169999999998</v>
      </c>
      <c r="G67">
        <v>11172.69</v>
      </c>
      <c r="H67">
        <v>12679.08</v>
      </c>
      <c r="I67">
        <v>12442.12</v>
      </c>
      <c r="J67">
        <v>15737.97</v>
      </c>
      <c r="K67">
        <v>16951.810000000001</v>
      </c>
    </row>
    <row r="68" spans="1:11" x14ac:dyDescent="0.35">
      <c r="A68" s="3" t="s">
        <v>30</v>
      </c>
      <c r="B68">
        <v>29272.34</v>
      </c>
      <c r="C68">
        <v>32655.73</v>
      </c>
      <c r="D68">
        <v>35085.31</v>
      </c>
      <c r="E68">
        <v>42137.63</v>
      </c>
      <c r="F68">
        <v>39013.730000000003</v>
      </c>
      <c r="G68">
        <v>37456.879999999997</v>
      </c>
      <c r="H68">
        <v>36088.589999999997</v>
      </c>
      <c r="I68">
        <v>35240.339999999997</v>
      </c>
      <c r="J68">
        <v>40755.39</v>
      </c>
      <c r="K68">
        <v>47788.29</v>
      </c>
    </row>
    <row r="69" spans="1:11" x14ac:dyDescent="0.35">
      <c r="A69" s="2" t="s">
        <v>53</v>
      </c>
      <c r="B69">
        <v>32115.759999999998</v>
      </c>
      <c r="C69">
        <v>30460.400000000001</v>
      </c>
      <c r="D69">
        <v>36077.879999999997</v>
      </c>
      <c r="E69">
        <v>34613.910000000003</v>
      </c>
      <c r="F69">
        <v>32648.82</v>
      </c>
      <c r="G69">
        <v>33726.97</v>
      </c>
      <c r="H69">
        <v>46792.46</v>
      </c>
      <c r="I69">
        <v>40669.19</v>
      </c>
      <c r="J69">
        <v>37015.56</v>
      </c>
      <c r="K69">
        <v>45806.69</v>
      </c>
    </row>
    <row r="70" spans="1:11" x14ac:dyDescent="0.35">
      <c r="A70" s="2" t="s">
        <v>40</v>
      </c>
      <c r="B70">
        <v>3218930067</v>
      </c>
      <c r="C70">
        <v>3395930306</v>
      </c>
      <c r="D70">
        <v>3396100719</v>
      </c>
      <c r="E70">
        <v>3396100719</v>
      </c>
      <c r="F70">
        <v>3396100719</v>
      </c>
      <c r="G70">
        <v>3597726185</v>
      </c>
      <c r="H70">
        <v>3829060661</v>
      </c>
      <c r="I70">
        <v>3829414903</v>
      </c>
      <c r="J70">
        <v>3830097221</v>
      </c>
      <c r="K70">
        <v>3832491897</v>
      </c>
    </row>
    <row r="71" spans="1:11" x14ac:dyDescent="0.35">
      <c r="A71" s="2" t="s">
        <v>41</v>
      </c>
    </row>
    <row r="72" spans="1:11" x14ac:dyDescent="0.35">
      <c r="A72" s="2" t="s">
        <v>54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5">
      <c r="A74" s="3"/>
    </row>
    <row r="75" spans="1:11" x14ac:dyDescent="0.35">
      <c r="A75" s="3"/>
    </row>
    <row r="76" spans="1:11" x14ac:dyDescent="0.35">
      <c r="A76" s="3"/>
    </row>
    <row r="77" spans="1:11" x14ac:dyDescent="0.35">
      <c r="A77" s="3"/>
    </row>
    <row r="78" spans="1:11" x14ac:dyDescent="0.35">
      <c r="A78" s="3"/>
    </row>
    <row r="79" spans="1:11" x14ac:dyDescent="0.35">
      <c r="A79" s="3"/>
    </row>
    <row r="80" spans="1:11" x14ac:dyDescent="0.35">
      <c r="A80" s="1" t="s">
        <v>27</v>
      </c>
    </row>
    <row r="81" spans="1:11" s="6" customFormat="1" x14ac:dyDescent="0.35">
      <c r="A81" s="5" t="s">
        <v>24</v>
      </c>
      <c r="B81" s="4">
        <v>42094</v>
      </c>
      <c r="C81" s="4">
        <v>42460</v>
      </c>
      <c r="D81" s="4">
        <v>42825</v>
      </c>
      <c r="E81" s="4">
        <v>43190</v>
      </c>
      <c r="F81" s="4">
        <v>43555</v>
      </c>
      <c r="G81" s="4">
        <v>43921</v>
      </c>
      <c r="H81" s="4">
        <v>44286</v>
      </c>
      <c r="I81" s="4">
        <v>44651</v>
      </c>
      <c r="J81" s="4">
        <v>45016</v>
      </c>
      <c r="K81" s="4">
        <v>45382</v>
      </c>
    </row>
    <row r="82" spans="1:11" s="1" customFormat="1" x14ac:dyDescent="0.35">
      <c r="A82" s="3" t="s">
        <v>18</v>
      </c>
      <c r="B82">
        <v>35531.26</v>
      </c>
      <c r="C82">
        <v>37899.54</v>
      </c>
      <c r="D82">
        <v>30199.25</v>
      </c>
      <c r="E82">
        <v>23857.42</v>
      </c>
      <c r="F82">
        <v>18890.75</v>
      </c>
      <c r="G82">
        <v>26632.94</v>
      </c>
      <c r="H82">
        <v>29000.51</v>
      </c>
      <c r="I82">
        <v>14282.83</v>
      </c>
      <c r="J82">
        <v>35388.01</v>
      </c>
      <c r="K82">
        <v>67915.360000000001</v>
      </c>
    </row>
    <row r="83" spans="1:11" s="3" customFormat="1" x14ac:dyDescent="0.35">
      <c r="A83" s="3" t="s">
        <v>19</v>
      </c>
      <c r="B83">
        <v>-36232.35</v>
      </c>
      <c r="C83">
        <v>-36693.9</v>
      </c>
      <c r="D83">
        <v>-39571.4</v>
      </c>
      <c r="E83">
        <v>-25139.14</v>
      </c>
      <c r="F83">
        <v>-20878.07</v>
      </c>
      <c r="G83">
        <v>-33114.550000000003</v>
      </c>
      <c r="H83">
        <v>-25672.5</v>
      </c>
      <c r="I83">
        <v>-4443.66</v>
      </c>
      <c r="J83">
        <v>-15417.17</v>
      </c>
      <c r="K83">
        <v>-22781.56</v>
      </c>
    </row>
    <row r="84" spans="1:11" s="3" customFormat="1" x14ac:dyDescent="0.35">
      <c r="A84" s="3" t="s">
        <v>20</v>
      </c>
      <c r="B84">
        <v>5201.4399999999996</v>
      </c>
      <c r="C84">
        <v>-3795.12</v>
      </c>
      <c r="D84">
        <v>6205.3</v>
      </c>
      <c r="E84">
        <v>2011.71</v>
      </c>
      <c r="F84">
        <v>8830.3700000000008</v>
      </c>
      <c r="G84">
        <v>3389.61</v>
      </c>
      <c r="H84">
        <v>9904.2000000000007</v>
      </c>
      <c r="I84">
        <v>-3380.17</v>
      </c>
      <c r="J84">
        <v>-26242.9</v>
      </c>
      <c r="K84">
        <v>-37005.99</v>
      </c>
    </row>
    <row r="85" spans="1:11" s="1" customFormat="1" x14ac:dyDescent="0.35">
      <c r="A85" s="3" t="s">
        <v>21</v>
      </c>
      <c r="B85">
        <v>4500.3500000000004</v>
      </c>
      <c r="C85">
        <v>-2589.48</v>
      </c>
      <c r="D85">
        <v>-3166.85</v>
      </c>
      <c r="E85">
        <v>729.99</v>
      </c>
      <c r="F85">
        <v>6843.05</v>
      </c>
      <c r="G85">
        <v>-3092</v>
      </c>
      <c r="H85">
        <v>13232.21</v>
      </c>
      <c r="I85">
        <v>6459</v>
      </c>
      <c r="J85">
        <v>-6272.06</v>
      </c>
      <c r="K85">
        <v>8127.81</v>
      </c>
    </row>
    <row r="86" spans="1:11" x14ac:dyDescent="0.35">
      <c r="A86" s="3"/>
    </row>
    <row r="87" spans="1:11" x14ac:dyDescent="0.35">
      <c r="A87" s="3"/>
    </row>
    <row r="88" spans="1:11" x14ac:dyDescent="0.35">
      <c r="A88" s="3"/>
    </row>
    <row r="89" spans="1:11" x14ac:dyDescent="0.35">
      <c r="A89" s="3"/>
    </row>
    <row r="90" spans="1:11" s="1" customFormat="1" x14ac:dyDescent="0.35">
      <c r="A90" s="1" t="s">
        <v>43</v>
      </c>
      <c r="B90">
        <v>544.37</v>
      </c>
      <c r="C90">
        <v>386.6</v>
      </c>
      <c r="D90">
        <v>465.85</v>
      </c>
      <c r="E90">
        <v>326.85000000000002</v>
      </c>
      <c r="F90">
        <v>174.25</v>
      </c>
      <c r="G90">
        <v>71.05</v>
      </c>
      <c r="H90">
        <v>301.8</v>
      </c>
      <c r="I90">
        <v>433.75</v>
      </c>
      <c r="J90">
        <v>420.8</v>
      </c>
      <c r="K90">
        <v>992.8</v>
      </c>
    </row>
    <row r="92" spans="1:11" s="1" customFormat="1" x14ac:dyDescent="0.35">
      <c r="A92" s="1" t="s">
        <v>42</v>
      </c>
    </row>
    <row r="93" spans="1:11" x14ac:dyDescent="0.35">
      <c r="A93" s="2" t="s">
        <v>55</v>
      </c>
      <c r="B93" s="7">
        <v>288.74</v>
      </c>
      <c r="C93" s="7">
        <v>288.72000000000003</v>
      </c>
      <c r="D93" s="7">
        <v>288.73</v>
      </c>
      <c r="E93" s="7">
        <v>288.73</v>
      </c>
      <c r="F93" s="7">
        <v>288.73</v>
      </c>
      <c r="G93" s="7">
        <v>308.89999999999998</v>
      </c>
      <c r="H93" s="7">
        <v>332.03</v>
      </c>
      <c r="I93" s="7">
        <v>332.07</v>
      </c>
      <c r="J93" s="7">
        <v>332.13</v>
      </c>
      <c r="K93" s="7">
        <v>332.37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6026-3381-4C54-A02A-9CC3A34CB9B6}">
  <sheetPr>
    <tabColor rgb="FF002060"/>
  </sheetPr>
  <dimension ref="A1"/>
  <sheetViews>
    <sheetView showGridLines="0" workbookViewId="0">
      <selection activeCell="B2" sqref="B2"/>
    </sheetView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C6C0-9523-4B4B-B19C-202FF5B087FB}">
  <sheetPr>
    <tabColor rgb="FF002060"/>
  </sheetPr>
  <dimension ref="A2:V99"/>
  <sheetViews>
    <sheetView showGridLines="0" topLeftCell="A14" workbookViewId="0">
      <selection activeCell="C93" sqref="C93"/>
    </sheetView>
  </sheetViews>
  <sheetFormatPr defaultRowHeight="14.5" x14ac:dyDescent="0.35"/>
  <cols>
    <col min="1" max="1" width="1.81640625" customWidth="1"/>
    <col min="2" max="12" width="15.6328125" style="20" customWidth="1"/>
    <col min="13" max="13" width="12.6328125" customWidth="1"/>
  </cols>
  <sheetData>
    <row r="2" spans="1:13" x14ac:dyDescent="0.35">
      <c r="B2" s="76" t="str">
        <f>"Historical Financial Statement - "&amp;'Data Sheet'!B1</f>
        <v>Historical Financial Statement - TATA MOTORS LTD</v>
      </c>
      <c r="C2" s="76"/>
      <c r="D2" s="76"/>
      <c r="E2" s="76"/>
      <c r="F2" s="17"/>
      <c r="G2" s="17"/>
      <c r="H2" s="17"/>
      <c r="I2" s="17"/>
      <c r="J2" s="17"/>
      <c r="K2" s="17"/>
      <c r="L2" s="17"/>
      <c r="M2" s="8"/>
    </row>
    <row r="3" spans="1:13" x14ac:dyDescent="0.35">
      <c r="B3" s="17" t="s">
        <v>56</v>
      </c>
      <c r="C3" s="18">
        <f>'Data Sheet'!B16</f>
        <v>42094</v>
      </c>
      <c r="D3" s="18">
        <f>'Data Sheet'!C16</f>
        <v>42460</v>
      </c>
      <c r="E3" s="18">
        <f>'Data Sheet'!D16</f>
        <v>42825</v>
      </c>
      <c r="F3" s="18">
        <f>'Data Sheet'!E16</f>
        <v>43190</v>
      </c>
      <c r="G3" s="18">
        <f>'Data Sheet'!F16</f>
        <v>43555</v>
      </c>
      <c r="H3" s="18">
        <f>'Data Sheet'!G16</f>
        <v>43921</v>
      </c>
      <c r="I3" s="18">
        <f>'Data Sheet'!H16</f>
        <v>44286</v>
      </c>
      <c r="J3" s="18">
        <f>'Data Sheet'!I16</f>
        <v>44651</v>
      </c>
      <c r="K3" s="18">
        <f>'Data Sheet'!J16</f>
        <v>45016</v>
      </c>
      <c r="L3" s="18">
        <f>'Data Sheet'!K16</f>
        <v>45382</v>
      </c>
      <c r="M3" s="9" t="s">
        <v>57</v>
      </c>
    </row>
    <row r="4" spans="1:13" s="15" customFormat="1" ht="43.5" x14ac:dyDescent="0.35">
      <c r="A4" s="15" t="s">
        <v>58</v>
      </c>
      <c r="B4" s="19" t="s">
        <v>66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3" x14ac:dyDescent="0.35">
      <c r="B5" s="20" t="s">
        <v>1</v>
      </c>
      <c r="C5" s="21">
        <f>IFERROR('Data Sheet'!B17,0)</f>
        <v>263158.98</v>
      </c>
      <c r="D5" s="21">
        <f>IFERROR('Data Sheet'!C17,0)</f>
        <v>273045.59999999998</v>
      </c>
      <c r="E5" s="21">
        <f>IFERROR('Data Sheet'!D17,0)</f>
        <v>269692.51</v>
      </c>
      <c r="F5" s="21">
        <f>IFERROR('Data Sheet'!E17,0)</f>
        <v>291550.48</v>
      </c>
      <c r="G5" s="21">
        <f>IFERROR('Data Sheet'!F17,0)</f>
        <v>301938.40000000002</v>
      </c>
      <c r="H5" s="21">
        <f>IFERROR('Data Sheet'!G17,0)</f>
        <v>261067.97</v>
      </c>
      <c r="I5" s="21">
        <f>IFERROR('Data Sheet'!H17,0)</f>
        <v>249794.75</v>
      </c>
      <c r="J5" s="21">
        <f>IFERROR('Data Sheet'!I17,0)</f>
        <v>278453.62</v>
      </c>
      <c r="K5" s="21">
        <f>IFERROR('Data Sheet'!J17,0)</f>
        <v>345966.97</v>
      </c>
      <c r="L5" s="21">
        <f>IFERROR('Data Sheet'!K17,0)</f>
        <v>437927.77</v>
      </c>
      <c r="M5" s="10">
        <f>IFERROR(SUM('Data Sheet'!H17:K17),0)</f>
        <v>1312143.1099999999</v>
      </c>
    </row>
    <row r="6" spans="1:13" s="53" customFormat="1" x14ac:dyDescent="0.35">
      <c r="B6" s="53" t="s">
        <v>10</v>
      </c>
      <c r="C6" s="53" t="s">
        <v>59</v>
      </c>
      <c r="D6" s="53">
        <f t="shared" ref="D6:L6" si="0">D5/C5-1</f>
        <v>3.75690010654397E-2</v>
      </c>
      <c r="E6" s="53">
        <f t="shared" si="0"/>
        <v>-1.2280329732469508E-2</v>
      </c>
      <c r="F6" s="53">
        <f t="shared" si="0"/>
        <v>8.104774581985974E-2</v>
      </c>
      <c r="G6" s="53">
        <f t="shared" si="0"/>
        <v>3.5629919045237157E-2</v>
      </c>
      <c r="H6" s="53">
        <f t="shared" si="0"/>
        <v>-0.135360159555724</v>
      </c>
      <c r="I6" s="53">
        <f t="shared" si="0"/>
        <v>-4.3181168490336042E-2</v>
      </c>
      <c r="J6" s="53">
        <f t="shared" si="0"/>
        <v>0.11472967306158344</v>
      </c>
      <c r="K6" s="53">
        <f t="shared" si="0"/>
        <v>0.24245815155859707</v>
      </c>
      <c r="L6" s="53">
        <f t="shared" si="0"/>
        <v>0.26580803363974326</v>
      </c>
    </row>
    <row r="7" spans="1:13" s="11" customFormat="1" x14ac:dyDescent="0.35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</row>
    <row r="8" spans="1:13" s="12" customFormat="1" x14ac:dyDescent="0.35">
      <c r="B8" s="24" t="s">
        <v>60</v>
      </c>
      <c r="C8" s="21">
        <f>IFERROR(SUM('Data Sheet'!B18:B22)-1*'Data Sheet'!B19,0)</f>
        <v>206187.23</v>
      </c>
      <c r="D8" s="21">
        <f>IFERROR(SUM('Data Sheet'!C18:C22)-1*'Data Sheet'!C19,0)</f>
        <v>208260.06</v>
      </c>
      <c r="E8" s="21">
        <f>IFERROR(SUM('Data Sheet'!D18:D22)-1*'Data Sheet'!D19,0)</f>
        <v>212854.16</v>
      </c>
      <c r="F8" s="21">
        <f>IFERROR(SUM('Data Sheet'!E18:E22)-1*'Data Sheet'!E19,0)</f>
        <v>230476.40999999997</v>
      </c>
      <c r="G8" s="21">
        <f>IFERROR(SUM('Data Sheet'!F18:F22)-1*'Data Sheet'!F19,0)</f>
        <v>240792.25</v>
      </c>
      <c r="H8" s="21">
        <f>IFERROR(SUM('Data Sheet'!G18:G22)-1*'Data Sheet'!G19,0)</f>
        <v>208144.88000000003</v>
      </c>
      <c r="I8" s="21">
        <f>IFERROR(SUM('Data Sheet'!H18:H22)-1*'Data Sheet'!H19,0)</f>
        <v>190641.88</v>
      </c>
      <c r="J8" s="21">
        <f>IFERROR(SUM('Data Sheet'!I18:I22)-1*'Data Sheet'!I19,0)</f>
        <v>221709.52</v>
      </c>
      <c r="K8" s="21">
        <f>IFERROR(SUM('Data Sheet'!J18:J22)-1*'Data Sheet'!J19,0)</f>
        <v>279185.26</v>
      </c>
      <c r="L8" s="21">
        <f>IFERROR(SUM('Data Sheet'!K18:K22)-1*'Data Sheet'!K19,0)</f>
        <v>336117.32</v>
      </c>
    </row>
    <row r="9" spans="1:13" s="53" customFormat="1" x14ac:dyDescent="0.35">
      <c r="B9" s="53" t="s">
        <v>61</v>
      </c>
      <c r="C9" s="53">
        <f t="shared" ref="C9:L9" si="1">C8/C5</f>
        <v>0.78350824281200671</v>
      </c>
      <c r="D9" s="53">
        <f t="shared" si="1"/>
        <v>0.76272996158883355</v>
      </c>
      <c r="E9" s="53">
        <f t="shared" si="1"/>
        <v>0.78924757680515489</v>
      </c>
      <c r="F9" s="53">
        <f t="shared" si="1"/>
        <v>0.79051974121256807</v>
      </c>
      <c r="G9" s="53">
        <f t="shared" si="1"/>
        <v>0.79748799755181843</v>
      </c>
      <c r="H9" s="53">
        <f t="shared" si="1"/>
        <v>0.79728233226006251</v>
      </c>
      <c r="I9" s="53">
        <f t="shared" si="1"/>
        <v>0.76319410235803598</v>
      </c>
      <c r="J9" s="53">
        <f t="shared" si="1"/>
        <v>0.79621705043734037</v>
      </c>
      <c r="K9" s="53">
        <f t="shared" si="1"/>
        <v>0.8069708504254034</v>
      </c>
      <c r="L9" s="53">
        <f t="shared" si="1"/>
        <v>0.76751771188203022</v>
      </c>
    </row>
    <row r="10" spans="1:13" s="11" customFormat="1" x14ac:dyDescent="0.35">
      <c r="B10" s="22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3" s="47" customFormat="1" x14ac:dyDescent="0.35">
      <c r="B11" s="48" t="s">
        <v>62</v>
      </c>
      <c r="C11" s="48">
        <f>C5-C8</f>
        <v>56971.749999999971</v>
      </c>
      <c r="D11" s="48">
        <f t="shared" ref="D11:K11" si="2">D5-D8</f>
        <v>64785.539999999979</v>
      </c>
      <c r="E11" s="48">
        <f t="shared" si="2"/>
        <v>56838.350000000006</v>
      </c>
      <c r="F11" s="48">
        <f t="shared" si="2"/>
        <v>61074.070000000007</v>
      </c>
      <c r="G11" s="48">
        <f t="shared" si="2"/>
        <v>61146.150000000023</v>
      </c>
      <c r="H11" s="48">
        <f t="shared" si="2"/>
        <v>52923.089999999967</v>
      </c>
      <c r="I11" s="48">
        <f t="shared" si="2"/>
        <v>59152.869999999995</v>
      </c>
      <c r="J11" s="48">
        <f t="shared" si="2"/>
        <v>56744.100000000006</v>
      </c>
      <c r="K11" s="48">
        <f t="shared" si="2"/>
        <v>66781.709999999963</v>
      </c>
      <c r="L11" s="48">
        <f>L5-L8</f>
        <v>101810.45000000001</v>
      </c>
    </row>
    <row r="12" spans="1:13" s="53" customFormat="1" x14ac:dyDescent="0.35">
      <c r="B12" s="53" t="s">
        <v>70</v>
      </c>
      <c r="C12" s="53">
        <f>C11/C5</f>
        <v>0.21649175718799327</v>
      </c>
      <c r="D12" s="53">
        <f t="shared" ref="D12:L12" si="3">D11/D5</f>
        <v>0.23727003841116642</v>
      </c>
      <c r="E12" s="53">
        <f t="shared" si="3"/>
        <v>0.21075242319484513</v>
      </c>
      <c r="F12" s="53">
        <f t="shared" si="3"/>
        <v>0.20948025878743198</v>
      </c>
      <c r="G12" s="53">
        <f t="shared" si="3"/>
        <v>0.20251200244818154</v>
      </c>
      <c r="H12" s="53">
        <f t="shared" si="3"/>
        <v>0.20271766773993749</v>
      </c>
      <c r="I12" s="53">
        <f t="shared" si="3"/>
        <v>0.23680589764196402</v>
      </c>
      <c r="J12" s="53">
        <f t="shared" si="3"/>
        <v>0.20378294956265969</v>
      </c>
      <c r="K12" s="53">
        <f t="shared" si="3"/>
        <v>0.19302914957459658</v>
      </c>
      <c r="L12" s="53">
        <f t="shared" si="3"/>
        <v>0.23248228811796978</v>
      </c>
    </row>
    <row r="13" spans="1:13" s="14" customFormat="1" x14ac:dyDescent="0.3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3" s="10" customFormat="1" x14ac:dyDescent="0.35">
      <c r="B14" s="21" t="s">
        <v>63</v>
      </c>
      <c r="C14" s="21">
        <f>IFERROR(SUM('Data Sheet'!B23:B24),0)</f>
        <v>21063.449999999997</v>
      </c>
      <c r="D14" s="21">
        <f>IFERROR(SUM('Data Sheet'!C23:C24),0)</f>
        <v>29141.280000000002</v>
      </c>
      <c r="E14" s="21">
        <f>IFERROR(SUM('Data Sheet'!D23:D24),0)</f>
        <v>34649.58</v>
      </c>
      <c r="F14" s="21">
        <f>IFERROR(SUM('Data Sheet'!E23:E24),0)</f>
        <v>31662.97</v>
      </c>
      <c r="G14" s="21">
        <f>IFERROR(SUM('Data Sheet'!F23:F24),0)</f>
        <v>34428.54</v>
      </c>
      <c r="H14" s="21">
        <f>IFERROR(SUM('Data Sheet'!G23:G24),0)</f>
        <v>32704.83</v>
      </c>
      <c r="I14" s="21">
        <f>IFERROR(SUM('Data Sheet'!H23:H24),0)</f>
        <v>22181.280000000002</v>
      </c>
      <c r="J14" s="21">
        <f>IFERROR(SUM('Data Sheet'!I23:I24),0)</f>
        <v>30433.52</v>
      </c>
      <c r="K14" s="21">
        <f>IFERROR(SUM('Data Sheet'!J23:J24),0)</f>
        <v>39747.53</v>
      </c>
      <c r="L14" s="21">
        <f>IFERROR(SUM('Data Sheet'!K23:K24),0)</f>
        <v>43837.64</v>
      </c>
    </row>
    <row r="15" spans="1:13" s="53" customFormat="1" x14ac:dyDescent="0.35">
      <c r="B15" s="53" t="s">
        <v>64</v>
      </c>
      <c r="C15" s="53">
        <f>C14/C5</f>
        <v>8.0040779911823637E-2</v>
      </c>
      <c r="D15" s="53">
        <f t="shared" ref="D15:L15" si="4">D14/D5</f>
        <v>0.10672678849247161</v>
      </c>
      <c r="E15" s="53">
        <f t="shared" si="4"/>
        <v>0.12847809529452636</v>
      </c>
      <c r="F15" s="53">
        <f t="shared" si="4"/>
        <v>0.10860201636437025</v>
      </c>
      <c r="G15" s="53">
        <f t="shared" si="4"/>
        <v>0.11402504616835751</v>
      </c>
      <c r="H15" s="53">
        <f t="shared" si="4"/>
        <v>0.12527323822987554</v>
      </c>
      <c r="I15" s="53">
        <f t="shared" si="4"/>
        <v>8.8798023177028354E-2</v>
      </c>
      <c r="J15" s="53">
        <f t="shared" si="4"/>
        <v>0.10929475436519734</v>
      </c>
      <c r="K15" s="53">
        <f t="shared" si="4"/>
        <v>0.11488822184383672</v>
      </c>
      <c r="L15" s="53">
        <f t="shared" si="4"/>
        <v>0.10010244383451636</v>
      </c>
    </row>
    <row r="17" spans="2:12" s="47" customFormat="1" x14ac:dyDescent="0.35">
      <c r="B17" s="48" t="s">
        <v>65</v>
      </c>
      <c r="C17" s="48">
        <f>C11-C14</f>
        <v>35908.299999999974</v>
      </c>
      <c r="D17" s="48">
        <f t="shared" ref="D17:L17" si="5">D11-D14</f>
        <v>35644.25999999998</v>
      </c>
      <c r="E17" s="48">
        <f t="shared" si="5"/>
        <v>22188.770000000004</v>
      </c>
      <c r="F17" s="48">
        <f t="shared" si="5"/>
        <v>29411.100000000006</v>
      </c>
      <c r="G17" s="48">
        <f t="shared" si="5"/>
        <v>26717.610000000022</v>
      </c>
      <c r="H17" s="48">
        <f t="shared" si="5"/>
        <v>20218.259999999966</v>
      </c>
      <c r="I17" s="48">
        <f t="shared" si="5"/>
        <v>36971.589999999997</v>
      </c>
      <c r="J17" s="48">
        <f t="shared" si="5"/>
        <v>26310.580000000005</v>
      </c>
      <c r="K17" s="48">
        <f t="shared" si="5"/>
        <v>27034.179999999964</v>
      </c>
      <c r="L17" s="48">
        <f t="shared" si="5"/>
        <v>57972.810000000012</v>
      </c>
    </row>
    <row r="18" spans="2:12" s="53" customFormat="1" x14ac:dyDescent="0.35">
      <c r="B18" s="53" t="s">
        <v>67</v>
      </c>
      <c r="C18" s="53">
        <f>C17/C5</f>
        <v>0.13645097727616962</v>
      </c>
      <c r="D18" s="53">
        <f t="shared" ref="D18:L18" si="6">D17/D5</f>
        <v>0.13054324991869484</v>
      </c>
      <c r="E18" s="53">
        <f t="shared" si="6"/>
        <v>8.2274327900318786E-2</v>
      </c>
      <c r="F18" s="53">
        <f t="shared" si="6"/>
        <v>0.10087824242306172</v>
      </c>
      <c r="G18" s="53">
        <f t="shared" si="6"/>
        <v>8.8486956279824031E-2</v>
      </c>
      <c r="H18" s="53">
        <f t="shared" si="6"/>
        <v>7.7444429510061946E-2</v>
      </c>
      <c r="I18" s="53">
        <f t="shared" si="6"/>
        <v>0.14800787446493568</v>
      </c>
      <c r="J18" s="53">
        <f t="shared" si="6"/>
        <v>9.4488195197462349E-2</v>
      </c>
      <c r="K18" s="53">
        <f t="shared" si="6"/>
        <v>7.8140927730759868E-2</v>
      </c>
      <c r="L18" s="53">
        <f t="shared" si="6"/>
        <v>0.13237984428345342</v>
      </c>
    </row>
    <row r="20" spans="2:12" s="16" customFormat="1" x14ac:dyDescent="0.35">
      <c r="B20" s="26" t="s">
        <v>6</v>
      </c>
      <c r="C20" s="26">
        <f>IFERROR('Data Sheet'!B27,0)</f>
        <v>4861.49</v>
      </c>
      <c r="D20" s="26">
        <f>IFERROR('Data Sheet'!C27,0)</f>
        <v>4889.08</v>
      </c>
      <c r="E20" s="26">
        <f>IFERROR('Data Sheet'!D27,0)</f>
        <v>4238.01</v>
      </c>
      <c r="F20" s="26">
        <f>IFERROR('Data Sheet'!E27,0)</f>
        <v>4681.79</v>
      </c>
      <c r="G20" s="26">
        <f>IFERROR('Data Sheet'!F27,0)</f>
        <v>5758.6</v>
      </c>
      <c r="H20" s="26">
        <f>IFERROR('Data Sheet'!G27,0)</f>
        <v>7243.33</v>
      </c>
      <c r="I20" s="26">
        <f>IFERROR('Data Sheet'!H27,0)</f>
        <v>8097.17</v>
      </c>
      <c r="J20" s="26">
        <f>IFERROR('Data Sheet'!I27,0)</f>
        <v>9311.86</v>
      </c>
      <c r="K20" s="26">
        <f>IFERROR('Data Sheet'!J27,0)</f>
        <v>10225.48</v>
      </c>
      <c r="L20" s="26">
        <f>IFERROR('Data Sheet'!K27,0)</f>
        <v>9985.76</v>
      </c>
    </row>
    <row r="21" spans="2:12" s="53" customFormat="1" x14ac:dyDescent="0.35">
      <c r="B21" s="53" t="s">
        <v>68</v>
      </c>
      <c r="C21" s="53">
        <f>C20/C5</f>
        <v>1.8473585814932098E-2</v>
      </c>
      <c r="D21" s="53">
        <f t="shared" ref="D21:L21" si="7">D20/D5</f>
        <v>1.7905727101993223E-2</v>
      </c>
      <c r="E21" s="53">
        <f t="shared" si="7"/>
        <v>1.5714229512714312E-2</v>
      </c>
      <c r="F21" s="53">
        <f t="shared" si="7"/>
        <v>1.605824830060304E-2</v>
      </c>
      <c r="G21" s="53">
        <f t="shared" si="7"/>
        <v>1.9072102124141878E-2</v>
      </c>
      <c r="H21" s="53">
        <f t="shared" si="7"/>
        <v>2.7744996829752802E-2</v>
      </c>
      <c r="I21" s="53">
        <f t="shared" si="7"/>
        <v>3.2415292955516477E-2</v>
      </c>
      <c r="J21" s="53">
        <f t="shared" si="7"/>
        <v>3.3441332168710897E-2</v>
      </c>
      <c r="K21" s="53">
        <f t="shared" si="7"/>
        <v>2.9556231914277829E-2</v>
      </c>
      <c r="L21" s="53">
        <f t="shared" si="7"/>
        <v>2.2802299109736749E-2</v>
      </c>
    </row>
    <row r="23" spans="2:12" s="16" customFormat="1" x14ac:dyDescent="0.35">
      <c r="B23" s="26" t="s">
        <v>5</v>
      </c>
      <c r="C23" s="26">
        <f>IFERROR('Data Sheet'!B26,0)</f>
        <v>13388.63</v>
      </c>
      <c r="D23" s="26">
        <f>IFERROR('Data Sheet'!C26,0)</f>
        <v>16710.78</v>
      </c>
      <c r="E23" s="26">
        <f>IFERROR('Data Sheet'!D26,0)</f>
        <v>17904.990000000002</v>
      </c>
      <c r="F23" s="26">
        <f>IFERROR('Data Sheet'!E26,0)</f>
        <v>21553.59</v>
      </c>
      <c r="G23" s="26">
        <f>IFERROR('Data Sheet'!F26,0)</f>
        <v>23590.63</v>
      </c>
      <c r="H23" s="26">
        <f>IFERROR('Data Sheet'!G26,0)</f>
        <v>21425.43</v>
      </c>
      <c r="I23" s="26">
        <f>IFERROR('Data Sheet'!H26,0)</f>
        <v>23546.71</v>
      </c>
      <c r="J23" s="26">
        <f>IFERROR('Data Sheet'!I26,0)</f>
        <v>24835.69</v>
      </c>
      <c r="K23" s="26">
        <f>IFERROR('Data Sheet'!J26,0)</f>
        <v>24860.36</v>
      </c>
      <c r="L23" s="26">
        <f>IFERROR('Data Sheet'!K26,0)</f>
        <v>27270.13</v>
      </c>
    </row>
    <row r="24" spans="2:12" s="53" customFormat="1" ht="29" x14ac:dyDescent="0.35">
      <c r="B24" s="53" t="s">
        <v>69</v>
      </c>
      <c r="C24" s="53">
        <f>C23/C5</f>
        <v>5.0876584184966822E-2</v>
      </c>
      <c r="D24" s="53">
        <f t="shared" ref="D24:L24" si="8">D23/D5</f>
        <v>6.1201425695927715E-2</v>
      </c>
      <c r="E24" s="53">
        <f t="shared" si="8"/>
        <v>6.63903865924938E-2</v>
      </c>
      <c r="F24" s="53">
        <f t="shared" si="8"/>
        <v>7.3927472182518786E-2</v>
      </c>
      <c r="G24" s="53">
        <f t="shared" si="8"/>
        <v>7.8130605447998658E-2</v>
      </c>
      <c r="H24" s="53">
        <f t="shared" si="8"/>
        <v>8.206839774331566E-2</v>
      </c>
      <c r="I24" s="53">
        <f t="shared" si="8"/>
        <v>9.4264230933596482E-2</v>
      </c>
      <c r="J24" s="53">
        <f t="shared" si="8"/>
        <v>8.9191478279219347E-2</v>
      </c>
      <c r="K24" s="53">
        <f t="shared" si="8"/>
        <v>7.1857611147098821E-2</v>
      </c>
      <c r="L24" s="53">
        <f t="shared" si="8"/>
        <v>6.2270839777984394E-2</v>
      </c>
    </row>
    <row r="26" spans="2:12" s="47" customFormat="1" x14ac:dyDescent="0.35">
      <c r="B26" s="48" t="s">
        <v>71</v>
      </c>
      <c r="C26" s="48">
        <f>IFERROR(C17-(SUM(C20,C23)),0)</f>
        <v>17658.179999999975</v>
      </c>
      <c r="D26" s="48">
        <f t="shared" ref="D26:L26" si="9">IFERROR(D17-(SUM(D20,D23)),0)</f>
        <v>14044.39999999998</v>
      </c>
      <c r="E26" s="48">
        <f t="shared" si="9"/>
        <v>45.770000000004075</v>
      </c>
      <c r="F26" s="48">
        <f t="shared" si="9"/>
        <v>3175.7200000000048</v>
      </c>
      <c r="G26" s="48">
        <f t="shared" si="9"/>
        <v>-2631.6199999999808</v>
      </c>
      <c r="H26" s="48">
        <f t="shared" si="9"/>
        <v>-8450.5000000000364</v>
      </c>
      <c r="I26" s="48">
        <f t="shared" si="9"/>
        <v>5327.7099999999991</v>
      </c>
      <c r="J26" s="48">
        <f t="shared" si="9"/>
        <v>-7836.9699999999975</v>
      </c>
      <c r="K26" s="48">
        <f t="shared" si="9"/>
        <v>-8051.6600000000326</v>
      </c>
      <c r="L26" s="48">
        <f t="shared" si="9"/>
        <v>20716.920000000013</v>
      </c>
    </row>
    <row r="27" spans="2:12" s="53" customFormat="1" x14ac:dyDescent="0.35">
      <c r="B27" s="53" t="s">
        <v>72</v>
      </c>
      <c r="C27" s="53">
        <f>C26/C5</f>
        <v>6.7100807276270699E-2</v>
      </c>
      <c r="D27" s="53">
        <f t="shared" ref="D27:L27" si="10">D26/D5</f>
        <v>5.1436097120773898E-2</v>
      </c>
      <c r="E27" s="53">
        <f t="shared" si="10"/>
        <v>1.6971179511067651E-4</v>
      </c>
      <c r="F27" s="53">
        <f t="shared" si="10"/>
        <v>1.0892521939939887E-2</v>
      </c>
      <c r="G27" s="53">
        <f t="shared" si="10"/>
        <v>-8.7157512923165138E-3</v>
      </c>
      <c r="H27" s="53">
        <f t="shared" si="10"/>
        <v>-3.236896506300653E-2</v>
      </c>
      <c r="I27" s="53">
        <f t="shared" si="10"/>
        <v>2.1328350575822747E-2</v>
      </c>
      <c r="J27" s="53">
        <f t="shared" si="10"/>
        <v>-2.8144615250467915E-2</v>
      </c>
      <c r="K27" s="53">
        <f t="shared" si="10"/>
        <v>-2.3272915330616772E-2</v>
      </c>
      <c r="L27" s="53">
        <f t="shared" si="10"/>
        <v>4.7306705395732299E-2</v>
      </c>
    </row>
    <row r="29" spans="2:12" s="13" customFormat="1" x14ac:dyDescent="0.35">
      <c r="B29" s="27" t="s">
        <v>8</v>
      </c>
      <c r="C29" s="26">
        <f>IFERROR('Data Sheet'!B29,0)</f>
        <v>7642.91</v>
      </c>
      <c r="D29" s="27">
        <f>IFERROR('Data Sheet'!C29,0)</f>
        <v>3025.05</v>
      </c>
      <c r="E29" s="27">
        <f>IFERROR('Data Sheet'!D29,0)</f>
        <v>3251.23</v>
      </c>
      <c r="F29" s="27">
        <f>IFERROR('Data Sheet'!E29,0)</f>
        <v>4341.93</v>
      </c>
      <c r="G29" s="27">
        <f>IFERROR('Data Sheet'!F29,0)</f>
        <v>-2437.4499999999998</v>
      </c>
      <c r="H29" s="27">
        <f>IFERROR('Data Sheet'!G29,0)</f>
        <v>395.25</v>
      </c>
      <c r="I29" s="27">
        <f>IFERROR('Data Sheet'!H29,0)</f>
        <v>2541.86</v>
      </c>
      <c r="J29" s="27">
        <f>IFERROR('Data Sheet'!I29,0)</f>
        <v>4231.29</v>
      </c>
      <c r="K29" s="27">
        <f>IFERROR('Data Sheet'!J29,0)</f>
        <v>704.06</v>
      </c>
      <c r="L29" s="27">
        <f>IFERROR('Data Sheet'!K29,0)</f>
        <v>-3851.64</v>
      </c>
    </row>
    <row r="30" spans="2:12" s="53" customFormat="1" ht="29" x14ac:dyDescent="0.35">
      <c r="B30" s="53" t="s">
        <v>73</v>
      </c>
      <c r="C30" s="53">
        <f>C29/C26</f>
        <v>0.43282546672420436</v>
      </c>
      <c r="D30" s="53">
        <f t="shared" ref="D30:L30" si="11">D29/D26</f>
        <v>0.21539189997436733</v>
      </c>
      <c r="E30" s="53">
        <f t="shared" si="11"/>
        <v>71.034083460775847</v>
      </c>
      <c r="F30" s="53">
        <f t="shared" si="11"/>
        <v>1.3672269595556263</v>
      </c>
      <c r="G30" s="53">
        <f t="shared" si="11"/>
        <v>0.92621655102181077</v>
      </c>
      <c r="H30" s="53">
        <f t="shared" si="11"/>
        <v>-4.6772380332524503E-2</v>
      </c>
      <c r="I30" s="53">
        <f t="shared" si="11"/>
        <v>0.47710179420426424</v>
      </c>
      <c r="J30" s="53">
        <f t="shared" si="11"/>
        <v>-0.53991402289405233</v>
      </c>
      <c r="K30" s="53">
        <f t="shared" si="11"/>
        <v>-8.7442837874425527E-2</v>
      </c>
      <c r="L30" s="53">
        <f t="shared" si="11"/>
        <v>-0.18591759778963271</v>
      </c>
    </row>
    <row r="32" spans="2:12" s="47" customFormat="1" x14ac:dyDescent="0.35">
      <c r="B32" s="48" t="s">
        <v>74</v>
      </c>
      <c r="C32" s="48">
        <f>IFERROR(C26-C29,0)</f>
        <v>10015.269999999975</v>
      </c>
      <c r="D32" s="48">
        <f t="shared" ref="D32:L32" si="12">IFERROR(D26-D29,0)</f>
        <v>11019.34999999998</v>
      </c>
      <c r="E32" s="48">
        <f t="shared" si="12"/>
        <v>-3205.4599999999959</v>
      </c>
      <c r="F32" s="48">
        <f t="shared" si="12"/>
        <v>-1166.2099999999955</v>
      </c>
      <c r="G32" s="48">
        <f t="shared" si="12"/>
        <v>-194.16999999998097</v>
      </c>
      <c r="H32" s="48">
        <f t="shared" si="12"/>
        <v>-8845.7500000000364</v>
      </c>
      <c r="I32" s="48">
        <f t="shared" si="12"/>
        <v>2785.849999999999</v>
      </c>
      <c r="J32" s="48">
        <f t="shared" si="12"/>
        <v>-12068.259999999998</v>
      </c>
      <c r="K32" s="48">
        <f t="shared" si="12"/>
        <v>-8755.7200000000321</v>
      </c>
      <c r="L32" s="48">
        <f t="shared" si="12"/>
        <v>24568.560000000012</v>
      </c>
    </row>
    <row r="33" spans="1:12" s="53" customFormat="1" x14ac:dyDescent="0.35">
      <c r="B33" s="53" t="s">
        <v>75</v>
      </c>
      <c r="C33" s="53">
        <f>C32/C5</f>
        <v>3.805786904934795E-2</v>
      </c>
      <c r="D33" s="53">
        <f t="shared" ref="D33:L33" si="13">D32/D5</f>
        <v>4.0357178434664326E-2</v>
      </c>
      <c r="E33" s="53">
        <f t="shared" si="13"/>
        <v>-1.1885610023059209E-2</v>
      </c>
      <c r="F33" s="53">
        <f t="shared" si="13"/>
        <v>-4.0000277138970775E-3</v>
      </c>
      <c r="G33" s="53">
        <f t="shared" si="13"/>
        <v>-6.430781907832225E-4</v>
      </c>
      <c r="H33" s="53">
        <f t="shared" si="13"/>
        <v>-3.3882938607903666E-2</v>
      </c>
      <c r="I33" s="53">
        <f t="shared" si="13"/>
        <v>1.1152556248680163E-2</v>
      </c>
      <c r="J33" s="53">
        <f t="shared" si="13"/>
        <v>-4.3340287693153345E-2</v>
      </c>
      <c r="K33" s="53">
        <f t="shared" si="13"/>
        <v>-2.5307965092737125E-2</v>
      </c>
      <c r="L33" s="53">
        <f t="shared" si="13"/>
        <v>5.6101854422248701E-2</v>
      </c>
    </row>
    <row r="35" spans="1:12" ht="29" x14ac:dyDescent="0.35">
      <c r="B35" s="20" t="s">
        <v>76</v>
      </c>
      <c r="C35" s="20">
        <f>'Data Sheet'!B93</f>
        <v>288.74</v>
      </c>
      <c r="D35" s="20">
        <f>'Data Sheet'!C93</f>
        <v>288.72000000000003</v>
      </c>
      <c r="E35" s="20">
        <f>'Data Sheet'!D93</f>
        <v>288.73</v>
      </c>
      <c r="F35" s="20">
        <f>'Data Sheet'!E93</f>
        <v>288.73</v>
      </c>
      <c r="G35" s="20">
        <f>'Data Sheet'!F93</f>
        <v>288.73</v>
      </c>
      <c r="H35" s="20">
        <f>'Data Sheet'!G93</f>
        <v>308.89999999999998</v>
      </c>
      <c r="I35" s="20">
        <f>'Data Sheet'!H93</f>
        <v>332.03</v>
      </c>
      <c r="J35" s="20">
        <f>'Data Sheet'!I93</f>
        <v>332.07</v>
      </c>
      <c r="K35" s="20">
        <f>'Data Sheet'!J93</f>
        <v>332.13</v>
      </c>
      <c r="L35" s="20">
        <f>'Data Sheet'!K93</f>
        <v>332.37</v>
      </c>
    </row>
    <row r="37" spans="1:12" s="16" customFormat="1" x14ac:dyDescent="0.35">
      <c r="B37" s="26" t="s">
        <v>31</v>
      </c>
      <c r="C37" s="26">
        <f>IFERROR(C32/C35,0)</f>
        <v>34.686118999792114</v>
      </c>
      <c r="D37" s="26">
        <f t="shared" ref="D37:L37" si="14">IFERROR(D32/D35,0)</f>
        <v>38.166216403435783</v>
      </c>
      <c r="E37" s="26">
        <f t="shared" si="14"/>
        <v>-11.101929137948934</v>
      </c>
      <c r="F37" s="26">
        <f t="shared" si="14"/>
        <v>-4.0391022754822687</v>
      </c>
      <c r="G37" s="26">
        <f t="shared" si="14"/>
        <v>-0.67249679631483028</v>
      </c>
      <c r="H37" s="26">
        <f t="shared" si="14"/>
        <v>-28.636290061508699</v>
      </c>
      <c r="I37" s="26">
        <f t="shared" si="14"/>
        <v>8.3903562931060431</v>
      </c>
      <c r="J37" s="26">
        <f t="shared" si="14"/>
        <v>-36.342518143764863</v>
      </c>
      <c r="K37" s="26">
        <f t="shared" si="14"/>
        <v>-26.362328004094881</v>
      </c>
      <c r="L37" s="26">
        <f t="shared" si="14"/>
        <v>73.919306796642331</v>
      </c>
    </row>
    <row r="39" spans="1:12" x14ac:dyDescent="0.35">
      <c r="B39" s="20" t="s">
        <v>77</v>
      </c>
      <c r="C39" s="20">
        <f>IFERROR('Data Sheet'!B31/HistoricalFS!C35,0)</f>
        <v>0</v>
      </c>
      <c r="D39" s="28">
        <f>IFERROR('Data Sheet'!C31/HistoricalFS!D35,0)</f>
        <v>0.23524522028262676</v>
      </c>
      <c r="E39" s="20">
        <f>IFERROR('Data Sheet'!D31/HistoricalFS!E35,0)</f>
        <v>0</v>
      </c>
      <c r="F39" s="20">
        <f>IFERROR('Data Sheet'!E31/HistoricalFS!F35,0)</f>
        <v>0</v>
      </c>
      <c r="G39" s="20">
        <f>IFERROR('Data Sheet'!F31/HistoricalFS!G35,0)</f>
        <v>0</v>
      </c>
      <c r="H39" s="20">
        <f>IFERROR('Data Sheet'!G31/HistoricalFS!H35,0)</f>
        <v>0</v>
      </c>
      <c r="I39" s="20">
        <f>IFERROR('Data Sheet'!H31/HistoricalFS!I35,0)</f>
        <v>0</v>
      </c>
      <c r="J39" s="20">
        <f>IFERROR('Data Sheet'!I31/HistoricalFS!J35,0)</f>
        <v>0</v>
      </c>
      <c r="K39" s="20">
        <f>IFERROR('Data Sheet'!J31/HistoricalFS!K35,0)</f>
        <v>2.3063860536536898</v>
      </c>
      <c r="L39" s="20">
        <f>IFERROR('Data Sheet'!K31/HistoricalFS!L35,0)</f>
        <v>14.067605379546888</v>
      </c>
    </row>
    <row r="40" spans="1:12" s="53" customFormat="1" ht="29" x14ac:dyDescent="0.35">
      <c r="B40" s="53" t="s">
        <v>79</v>
      </c>
      <c r="C40" s="53">
        <f>IFERROR(C39/C37,0)</f>
        <v>0</v>
      </c>
      <c r="D40" s="53">
        <f t="shared" ref="D40:L40" si="15">IFERROR(D39/D37,0)</f>
        <v>6.1637029407360803E-3</v>
      </c>
      <c r="E40" s="53">
        <f t="shared" si="15"/>
        <v>0</v>
      </c>
      <c r="F40" s="53">
        <f t="shared" si="15"/>
        <v>0</v>
      </c>
      <c r="G40" s="53">
        <f t="shared" si="15"/>
        <v>0</v>
      </c>
      <c r="H40" s="53">
        <f t="shared" si="15"/>
        <v>0</v>
      </c>
      <c r="I40" s="53">
        <f t="shared" si="15"/>
        <v>0</v>
      </c>
      <c r="J40" s="53">
        <f t="shared" si="15"/>
        <v>0</v>
      </c>
      <c r="K40" s="53">
        <f t="shared" si="15"/>
        <v>-8.7487950733919892E-2</v>
      </c>
      <c r="L40" s="53">
        <f t="shared" si="15"/>
        <v>0.19031029901630364</v>
      </c>
    </row>
    <row r="42" spans="1:12" ht="29" x14ac:dyDescent="0.35">
      <c r="B42" s="20" t="s">
        <v>78</v>
      </c>
      <c r="C42" s="29">
        <f>IFERROR(IF(C40&lt;0, 1+C40,1-C40),0)</f>
        <v>1</v>
      </c>
      <c r="D42" s="29">
        <f t="shared" ref="D42:L42" si="16">IFERROR(IF(D40&lt;0, 1+D40,1-D40),0)</f>
        <v>0.99383629705926391</v>
      </c>
      <c r="E42" s="29">
        <f t="shared" si="16"/>
        <v>1</v>
      </c>
      <c r="F42" s="29">
        <f t="shared" si="16"/>
        <v>1</v>
      </c>
      <c r="G42" s="29">
        <f t="shared" si="16"/>
        <v>1</v>
      </c>
      <c r="H42" s="29">
        <f t="shared" si="16"/>
        <v>1</v>
      </c>
      <c r="I42" s="29">
        <f t="shared" si="16"/>
        <v>1</v>
      </c>
      <c r="J42" s="29">
        <f t="shared" si="16"/>
        <v>1</v>
      </c>
      <c r="K42" s="29">
        <f t="shared" si="16"/>
        <v>0.91251204926608009</v>
      </c>
      <c r="L42" s="29">
        <f t="shared" si="16"/>
        <v>0.8096897009836963</v>
      </c>
    </row>
    <row r="44" spans="1:12" s="15" customFormat="1" x14ac:dyDescent="0.35">
      <c r="A44" s="15" t="s">
        <v>58</v>
      </c>
      <c r="B44" s="33" t="s">
        <v>80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 s="16" customFormat="1" ht="29" x14ac:dyDescent="0.35">
      <c r="B45" s="26" t="s">
        <v>11</v>
      </c>
      <c r="C45" s="26">
        <f>IFERROR('Data Sheet'!B57,0)</f>
        <v>643.78</v>
      </c>
      <c r="D45" s="26">
        <f>IFERROR('Data Sheet'!C57,0)</f>
        <v>679.18</v>
      </c>
      <c r="E45" s="26">
        <f>IFERROR('Data Sheet'!D57,0)</f>
        <v>679.22</v>
      </c>
      <c r="F45" s="26">
        <f>IFERROR('Data Sheet'!E57,0)</f>
        <v>679.22</v>
      </c>
      <c r="G45" s="26">
        <f>IFERROR('Data Sheet'!F57,0)</f>
        <v>679.22</v>
      </c>
      <c r="H45" s="26">
        <f>IFERROR('Data Sheet'!G57,0)</f>
        <v>719.54</v>
      </c>
      <c r="I45" s="26">
        <f>IFERROR('Data Sheet'!H57,0)</f>
        <v>765.81</v>
      </c>
      <c r="J45" s="26">
        <f>IFERROR('Data Sheet'!I57,0)</f>
        <v>765.88</v>
      </c>
      <c r="K45" s="26">
        <f>IFERROR('Data Sheet'!J57,0)</f>
        <v>766.02</v>
      </c>
      <c r="L45" s="26">
        <f>IFERROR('Data Sheet'!K57,0)</f>
        <v>766.5</v>
      </c>
    </row>
    <row r="46" spans="1:12" s="16" customFormat="1" x14ac:dyDescent="0.35">
      <c r="B46" s="26" t="s">
        <v>12</v>
      </c>
      <c r="C46" s="26">
        <f>IFERROR('Data Sheet'!B58,0)</f>
        <v>55618.14</v>
      </c>
      <c r="D46" s="26">
        <f>IFERROR('Data Sheet'!C58,0)</f>
        <v>78273.23</v>
      </c>
      <c r="E46" s="26">
        <f>IFERROR('Data Sheet'!D58,0)</f>
        <v>57382.67</v>
      </c>
      <c r="F46" s="26">
        <f>IFERROR('Data Sheet'!E58,0)</f>
        <v>94748.69</v>
      </c>
      <c r="G46" s="26">
        <f>IFERROR('Data Sheet'!F58,0)</f>
        <v>59500.34</v>
      </c>
      <c r="H46" s="26">
        <f>IFERROR('Data Sheet'!G58,0)</f>
        <v>61491.49</v>
      </c>
      <c r="I46" s="26">
        <f>IFERROR('Data Sheet'!H58,0)</f>
        <v>54480.91</v>
      </c>
      <c r="J46" s="26">
        <f>IFERROR('Data Sheet'!I58,0)</f>
        <v>43795.360000000001</v>
      </c>
      <c r="K46" s="26">
        <f>IFERROR('Data Sheet'!J58,0)</f>
        <v>44555.77</v>
      </c>
      <c r="L46" s="26">
        <f>IFERROR('Data Sheet'!K58,0)</f>
        <v>84151.52</v>
      </c>
    </row>
    <row r="47" spans="1:12" s="16" customFormat="1" x14ac:dyDescent="0.35">
      <c r="B47" s="26" t="s">
        <v>37</v>
      </c>
      <c r="C47" s="26">
        <f>IFERROR('Data Sheet'!B59,0)</f>
        <v>73610.39</v>
      </c>
      <c r="D47" s="26">
        <f>IFERROR('Data Sheet'!C59,0)</f>
        <v>69359.960000000006</v>
      </c>
      <c r="E47" s="26">
        <f>IFERROR('Data Sheet'!D59,0)</f>
        <v>78603.98</v>
      </c>
      <c r="F47" s="26">
        <f>IFERROR('Data Sheet'!E59,0)</f>
        <v>88950.47</v>
      </c>
      <c r="G47" s="26">
        <f>IFERROR('Data Sheet'!F59,0)</f>
        <v>106175.34</v>
      </c>
      <c r="H47" s="26">
        <f>IFERROR('Data Sheet'!G59,0)</f>
        <v>124787.64</v>
      </c>
      <c r="I47" s="26">
        <f>IFERROR('Data Sheet'!H59,0)</f>
        <v>142130.57</v>
      </c>
      <c r="J47" s="26">
        <f>IFERROR('Data Sheet'!I59,0)</f>
        <v>146449.03</v>
      </c>
      <c r="K47" s="26">
        <f>IFERROR('Data Sheet'!J59,0)</f>
        <v>134113.44</v>
      </c>
      <c r="L47" s="26">
        <f>IFERROR('Data Sheet'!K59,0)</f>
        <v>107262.5</v>
      </c>
    </row>
    <row r="48" spans="1:12" s="16" customFormat="1" x14ac:dyDescent="0.35">
      <c r="B48" s="26" t="s">
        <v>38</v>
      </c>
      <c r="C48" s="26">
        <f>IFERROR('Data Sheet'!B60,0)</f>
        <v>107442.48</v>
      </c>
      <c r="D48" s="26">
        <f>IFERROR('Data Sheet'!C60,0)</f>
        <v>114871.75</v>
      </c>
      <c r="E48" s="26">
        <f>IFERROR('Data Sheet'!D60,0)</f>
        <v>135914.49</v>
      </c>
      <c r="F48" s="26">
        <f>IFERROR('Data Sheet'!E60,0)</f>
        <v>142813.43</v>
      </c>
      <c r="G48" s="26">
        <f>IFERROR('Data Sheet'!F60,0)</f>
        <v>139348.59</v>
      </c>
      <c r="H48" s="26">
        <f>IFERROR('Data Sheet'!G60,0)</f>
        <v>133180.72</v>
      </c>
      <c r="I48" s="26">
        <f>IFERROR('Data Sheet'!H60,0)</f>
        <v>144192.62</v>
      </c>
      <c r="J48" s="26">
        <f>IFERROR('Data Sheet'!I60,0)</f>
        <v>138051.22</v>
      </c>
      <c r="K48" s="26">
        <f>IFERROR('Data Sheet'!J60,0)</f>
        <v>155239.20000000001</v>
      </c>
      <c r="L48" s="26">
        <f>IFERROR('Data Sheet'!K60,0)</f>
        <v>177340.09</v>
      </c>
    </row>
    <row r="49" spans="1:12" s="49" customFormat="1" x14ac:dyDescent="0.35">
      <c r="B49" s="50" t="s">
        <v>81</v>
      </c>
      <c r="C49" s="50">
        <f>IFERROR('Data Sheet'!B61,0)</f>
        <v>237314.79</v>
      </c>
      <c r="D49" s="50">
        <f>IFERROR('Data Sheet'!C61,0)</f>
        <v>263184.12</v>
      </c>
      <c r="E49" s="50">
        <f>IFERROR('Data Sheet'!D61,0)</f>
        <v>272580.36</v>
      </c>
      <c r="F49" s="50">
        <f>IFERROR('Data Sheet'!E61,0)</f>
        <v>327191.81</v>
      </c>
      <c r="G49" s="50">
        <f>IFERROR('Data Sheet'!F61,0)</f>
        <v>305703.49</v>
      </c>
      <c r="H49" s="50">
        <f>IFERROR('Data Sheet'!G61,0)</f>
        <v>320179.39</v>
      </c>
      <c r="I49" s="50">
        <f>IFERROR('Data Sheet'!H61,0)</f>
        <v>341569.91</v>
      </c>
      <c r="J49" s="50">
        <f>IFERROR('Data Sheet'!I61,0)</f>
        <v>329061.49</v>
      </c>
      <c r="K49" s="50">
        <f>IFERROR('Data Sheet'!J61,0)</f>
        <v>334674.43</v>
      </c>
      <c r="L49" s="50">
        <f>IFERROR('Data Sheet'!K61,0)</f>
        <v>369520.61</v>
      </c>
    </row>
    <row r="50" spans="1:12" x14ac:dyDescent="0.35">
      <c r="B50" s="30"/>
    </row>
    <row r="51" spans="1:12" s="16" customFormat="1" x14ac:dyDescent="0.35">
      <c r="B51" s="26" t="s">
        <v>14</v>
      </c>
      <c r="C51" s="26">
        <f>IFERROR('Data Sheet'!B62,0)</f>
        <v>88479.49</v>
      </c>
      <c r="D51" s="26">
        <f>IFERROR('Data Sheet'!C62,0)</f>
        <v>107231.76</v>
      </c>
      <c r="E51" s="26">
        <f>IFERROR('Data Sheet'!D62,0)</f>
        <v>95944.08</v>
      </c>
      <c r="F51" s="26">
        <f>IFERROR('Data Sheet'!E62,0)</f>
        <v>121413.86</v>
      </c>
      <c r="G51" s="26">
        <f>IFERROR('Data Sheet'!F62,0)</f>
        <v>111234.47</v>
      </c>
      <c r="H51" s="26">
        <f>IFERROR('Data Sheet'!G62,0)</f>
        <v>127107.14</v>
      </c>
      <c r="I51" s="26">
        <f>IFERROR('Data Sheet'!H62,0)</f>
        <v>138707.60999999999</v>
      </c>
      <c r="J51" s="26">
        <f>IFERROR('Data Sheet'!I62,0)</f>
        <v>138855.45000000001</v>
      </c>
      <c r="K51" s="26">
        <f>IFERROR('Data Sheet'!J62,0)</f>
        <v>132079.76</v>
      </c>
      <c r="L51" s="26">
        <f>IFERROR('Data Sheet'!K62,0)</f>
        <v>121285.46</v>
      </c>
    </row>
    <row r="52" spans="1:12" ht="29" x14ac:dyDescent="0.35">
      <c r="B52" s="31" t="s">
        <v>15</v>
      </c>
      <c r="C52" s="26">
        <f>IFERROR('Data Sheet'!B63,0)</f>
        <v>28640.09</v>
      </c>
      <c r="D52" s="26">
        <f>IFERROR('Data Sheet'!C63,0)</f>
        <v>25918.94</v>
      </c>
      <c r="E52" s="26">
        <f>IFERROR('Data Sheet'!D63,0)</f>
        <v>33698.839999999997</v>
      </c>
      <c r="F52" s="26">
        <f>IFERROR('Data Sheet'!E63,0)</f>
        <v>40033.5</v>
      </c>
      <c r="G52" s="26">
        <f>IFERROR('Data Sheet'!F63,0)</f>
        <v>31883.84</v>
      </c>
      <c r="H52" s="26">
        <f>IFERROR('Data Sheet'!G63,0)</f>
        <v>35622.29</v>
      </c>
      <c r="I52" s="26">
        <f>IFERROR('Data Sheet'!H63,0)</f>
        <v>20963.93</v>
      </c>
      <c r="J52" s="26">
        <f>IFERROR('Data Sheet'!I63,0)</f>
        <v>10251.09</v>
      </c>
      <c r="K52" s="26">
        <f>IFERROR('Data Sheet'!J63,0)</f>
        <v>14274.5</v>
      </c>
      <c r="L52" s="26">
        <f>IFERROR('Data Sheet'!K63,0)</f>
        <v>35698.43</v>
      </c>
    </row>
    <row r="53" spans="1:12" x14ac:dyDescent="0.35">
      <c r="B53" s="31" t="s">
        <v>16</v>
      </c>
      <c r="C53" s="26">
        <f>IFERROR('Data Sheet'!B64,0)</f>
        <v>15336.74</v>
      </c>
      <c r="D53" s="26">
        <f>IFERROR('Data Sheet'!C64,0)</f>
        <v>23767.02</v>
      </c>
      <c r="E53" s="26">
        <f>IFERROR('Data Sheet'!D64,0)</f>
        <v>20337.919999999998</v>
      </c>
      <c r="F53" s="26">
        <f>IFERROR('Data Sheet'!E64,0)</f>
        <v>20812.75</v>
      </c>
      <c r="G53" s="26">
        <f>IFERROR('Data Sheet'!F64,0)</f>
        <v>15770.72</v>
      </c>
      <c r="H53" s="26">
        <f>IFERROR('Data Sheet'!G64,0)</f>
        <v>16308.48</v>
      </c>
      <c r="I53" s="26">
        <f>IFERROR('Data Sheet'!H64,0)</f>
        <v>24620.28</v>
      </c>
      <c r="J53" s="26">
        <f>IFERROR('Data Sheet'!I64,0)</f>
        <v>29379.53</v>
      </c>
      <c r="K53" s="26">
        <f>IFERROR('Data Sheet'!J64,0)</f>
        <v>26379.16</v>
      </c>
      <c r="L53" s="26">
        <f>IFERROR('Data Sheet'!K64,0)</f>
        <v>22971.07</v>
      </c>
    </row>
    <row r="54" spans="1:12" x14ac:dyDescent="0.35">
      <c r="B54" s="31" t="s">
        <v>39</v>
      </c>
      <c r="C54" s="26">
        <f>IFERROR('Data Sheet'!B65,0)</f>
        <v>104858.47</v>
      </c>
      <c r="D54" s="26">
        <f>IFERROR('Data Sheet'!C65,0)</f>
        <v>106266.4</v>
      </c>
      <c r="E54" s="26">
        <f>IFERROR('Data Sheet'!D65,0)</f>
        <v>122599.52</v>
      </c>
      <c r="F54" s="26">
        <f>IFERROR('Data Sheet'!E65,0)</f>
        <v>144931.70000000001</v>
      </c>
      <c r="G54" s="26">
        <f>IFERROR('Data Sheet'!F65,0)</f>
        <v>146814.46</v>
      </c>
      <c r="H54" s="26">
        <f>IFERROR('Data Sheet'!G65,0)</f>
        <v>141141.48000000001</v>
      </c>
      <c r="I54" s="26">
        <f>IFERROR('Data Sheet'!H65,0)</f>
        <v>157278.09</v>
      </c>
      <c r="J54" s="26">
        <f>IFERROR('Data Sheet'!I65,0)</f>
        <v>150575.42000000001</v>
      </c>
      <c r="K54" s="26">
        <f>IFERROR('Data Sheet'!J65,0)</f>
        <v>161941.01</v>
      </c>
      <c r="L54" s="26">
        <f>IFERROR('Data Sheet'!K65,0)</f>
        <v>189565.65</v>
      </c>
    </row>
    <row r="55" spans="1:12" s="51" customFormat="1" x14ac:dyDescent="0.35">
      <c r="B55" s="52" t="s">
        <v>82</v>
      </c>
      <c r="C55" s="50">
        <f>IFERROR('Data Sheet'!B66,0)</f>
        <v>237314.79</v>
      </c>
      <c r="D55" s="50">
        <f>IFERROR('Data Sheet'!C66,0)</f>
        <v>263184.12</v>
      </c>
      <c r="E55" s="50">
        <f>IFERROR('Data Sheet'!D66,0)</f>
        <v>272580.36</v>
      </c>
      <c r="F55" s="50">
        <f>IFERROR('Data Sheet'!E66,0)</f>
        <v>327191.81</v>
      </c>
      <c r="G55" s="50">
        <f>IFERROR('Data Sheet'!F66,0)</f>
        <v>305703.49</v>
      </c>
      <c r="H55" s="50">
        <f>IFERROR('Data Sheet'!G66,0)</f>
        <v>320179.39</v>
      </c>
      <c r="I55" s="50">
        <f>IFERROR('Data Sheet'!H66,0)</f>
        <v>341569.91</v>
      </c>
      <c r="J55" s="50">
        <f>IFERROR('Data Sheet'!I66,0)</f>
        <v>329061.49</v>
      </c>
      <c r="K55" s="50">
        <f>IFERROR('Data Sheet'!J66,0)</f>
        <v>334674.43</v>
      </c>
      <c r="L55" s="50">
        <f>IFERROR('Data Sheet'!K66,0)</f>
        <v>369520.61</v>
      </c>
    </row>
    <row r="56" spans="1:12" x14ac:dyDescent="0.35">
      <c r="B56" s="30"/>
    </row>
    <row r="57" spans="1:12" x14ac:dyDescent="0.35">
      <c r="B57" s="31" t="s">
        <v>44</v>
      </c>
      <c r="C57" s="26">
        <f>IFERROR('Data Sheet'!B67,0)</f>
        <v>12579.2</v>
      </c>
      <c r="D57" s="26">
        <f>IFERROR('Data Sheet'!C67,0)</f>
        <v>13570.91</v>
      </c>
      <c r="E57" s="26">
        <f>IFERROR('Data Sheet'!D67,0)</f>
        <v>14075.55</v>
      </c>
      <c r="F57" s="26">
        <f>IFERROR('Data Sheet'!E67,0)</f>
        <v>19893.3</v>
      </c>
      <c r="G57" s="26">
        <f>IFERROR('Data Sheet'!F67,0)</f>
        <v>18996.169999999998</v>
      </c>
      <c r="H57" s="26">
        <f>IFERROR('Data Sheet'!G67,0)</f>
        <v>11172.69</v>
      </c>
      <c r="I57" s="26">
        <f>IFERROR('Data Sheet'!H67,0)</f>
        <v>12679.08</v>
      </c>
      <c r="J57" s="26">
        <f>IFERROR('Data Sheet'!I67,0)</f>
        <v>12442.12</v>
      </c>
      <c r="K57" s="26">
        <f>IFERROR('Data Sheet'!J67,0)</f>
        <v>15737.97</v>
      </c>
      <c r="L57" s="26">
        <f>IFERROR('Data Sheet'!K67,0)</f>
        <v>16951.810000000001</v>
      </c>
    </row>
    <row r="58" spans="1:12" x14ac:dyDescent="0.35">
      <c r="B58" s="31" t="s">
        <v>30</v>
      </c>
      <c r="C58" s="26">
        <f>IFERROR('Data Sheet'!B68,0)</f>
        <v>29272.34</v>
      </c>
      <c r="D58" s="26">
        <f>IFERROR('Data Sheet'!C68,0)</f>
        <v>32655.73</v>
      </c>
      <c r="E58" s="26">
        <f>IFERROR('Data Sheet'!D68,0)</f>
        <v>35085.31</v>
      </c>
      <c r="F58" s="26">
        <f>IFERROR('Data Sheet'!E68,0)</f>
        <v>42137.63</v>
      </c>
      <c r="G58" s="26">
        <f>IFERROR('Data Sheet'!F68,0)</f>
        <v>39013.730000000003</v>
      </c>
      <c r="H58" s="26">
        <f>IFERROR('Data Sheet'!G68,0)</f>
        <v>37456.879999999997</v>
      </c>
      <c r="I58" s="26">
        <f>IFERROR('Data Sheet'!H68,0)</f>
        <v>36088.589999999997</v>
      </c>
      <c r="J58" s="26">
        <f>IFERROR('Data Sheet'!I68,0)</f>
        <v>35240.339999999997</v>
      </c>
      <c r="K58" s="26">
        <f>IFERROR('Data Sheet'!J68,0)</f>
        <v>40755.39</v>
      </c>
      <c r="L58" s="26">
        <f>IFERROR('Data Sheet'!K68,0)</f>
        <v>47788.29</v>
      </c>
    </row>
    <row r="59" spans="1:12" x14ac:dyDescent="0.35">
      <c r="B59" s="32" t="s">
        <v>53</v>
      </c>
      <c r="C59" s="26">
        <f>IFERROR('Data Sheet'!B69,0)</f>
        <v>32115.759999999998</v>
      </c>
      <c r="D59" s="26">
        <f>IFERROR('Data Sheet'!C69,0)</f>
        <v>30460.400000000001</v>
      </c>
      <c r="E59" s="26">
        <f>IFERROR('Data Sheet'!D69,0)</f>
        <v>36077.879999999997</v>
      </c>
      <c r="F59" s="26">
        <f>IFERROR('Data Sheet'!E69,0)</f>
        <v>34613.910000000003</v>
      </c>
      <c r="G59" s="26">
        <f>IFERROR('Data Sheet'!F69,0)</f>
        <v>32648.82</v>
      </c>
      <c r="H59" s="26">
        <f>IFERROR('Data Sheet'!G69,0)</f>
        <v>33726.97</v>
      </c>
      <c r="I59" s="26">
        <f>IFERROR('Data Sheet'!H69,0)</f>
        <v>46792.46</v>
      </c>
      <c r="J59" s="26">
        <f>IFERROR('Data Sheet'!I69,0)</f>
        <v>40669.19</v>
      </c>
      <c r="K59" s="26">
        <f>IFERROR('Data Sheet'!J69,0)</f>
        <v>37015.56</v>
      </c>
      <c r="L59" s="26">
        <f>IFERROR('Data Sheet'!K69,0)</f>
        <v>45806.69</v>
      </c>
    </row>
    <row r="60" spans="1:12" ht="29" x14ac:dyDescent="0.35">
      <c r="B60" s="32" t="s">
        <v>40</v>
      </c>
      <c r="C60" s="26">
        <f>IFERROR('Data Sheet'!B70,0)</f>
        <v>3218930067</v>
      </c>
      <c r="D60" s="26">
        <f>IFERROR('Data Sheet'!C70,0)</f>
        <v>3395930306</v>
      </c>
      <c r="E60" s="26">
        <f>IFERROR('Data Sheet'!D70,0)</f>
        <v>3396100719</v>
      </c>
      <c r="F60" s="26">
        <f>IFERROR('Data Sheet'!E70,0)</f>
        <v>3396100719</v>
      </c>
      <c r="G60" s="26">
        <f>IFERROR('Data Sheet'!F70,0)</f>
        <v>3396100719</v>
      </c>
      <c r="H60" s="26">
        <f>IFERROR('Data Sheet'!G70,0)</f>
        <v>3597726185</v>
      </c>
      <c r="I60" s="26">
        <f>IFERROR('Data Sheet'!H70,0)</f>
        <v>3829060661</v>
      </c>
      <c r="J60" s="26">
        <f>IFERROR('Data Sheet'!I70,0)</f>
        <v>3829414903</v>
      </c>
      <c r="K60" s="26">
        <f>IFERROR('Data Sheet'!J70,0)</f>
        <v>3830097221</v>
      </c>
      <c r="L60" s="26">
        <f>IFERROR('Data Sheet'!K70,0)</f>
        <v>3832491897</v>
      </c>
    </row>
    <row r="61" spans="1:12" x14ac:dyDescent="0.35">
      <c r="B61" s="32"/>
    </row>
    <row r="62" spans="1:12" s="37" customFormat="1" x14ac:dyDescent="0.35">
      <c r="B62" s="35" t="s">
        <v>83</v>
      </c>
      <c r="C62" s="36" t="b">
        <f>C55=C49</f>
        <v>1</v>
      </c>
      <c r="D62" s="36" t="b">
        <f t="shared" ref="D62:L62" si="17">D55=D49</f>
        <v>1</v>
      </c>
      <c r="E62" s="36" t="b">
        <f t="shared" si="17"/>
        <v>1</v>
      </c>
      <c r="F62" s="36" t="b">
        <f t="shared" si="17"/>
        <v>1</v>
      </c>
      <c r="G62" s="36" t="b">
        <f t="shared" si="17"/>
        <v>1</v>
      </c>
      <c r="H62" s="36" t="b">
        <f t="shared" si="17"/>
        <v>1</v>
      </c>
      <c r="I62" s="36" t="b">
        <f t="shared" si="17"/>
        <v>1</v>
      </c>
      <c r="J62" s="36" t="b">
        <f t="shared" si="17"/>
        <v>1</v>
      </c>
      <c r="K62" s="36" t="b">
        <f t="shared" si="17"/>
        <v>1</v>
      </c>
      <c r="L62" s="36" t="b">
        <f t="shared" si="17"/>
        <v>1</v>
      </c>
    </row>
    <row r="64" spans="1:12" s="15" customFormat="1" ht="29" x14ac:dyDescent="0.35">
      <c r="A64" s="15" t="s">
        <v>58</v>
      </c>
      <c r="B64" s="33" t="s">
        <v>112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2:22" s="26" customFormat="1" ht="43.5" x14ac:dyDescent="0.35">
      <c r="B65" s="34" t="s">
        <v>84</v>
      </c>
      <c r="C65" s="26">
        <f>IFERROR('Cash Flow Data'!E4,0)</f>
        <v>35531</v>
      </c>
      <c r="D65" s="26">
        <f>IFERROR('Cash Flow Data'!F4,0)</f>
        <v>37900</v>
      </c>
      <c r="E65" s="26">
        <f>IFERROR('Cash Flow Data'!G4,0)</f>
        <v>30199</v>
      </c>
      <c r="F65" s="26">
        <f>IFERROR('Cash Flow Data'!H4,0)</f>
        <v>23857</v>
      </c>
      <c r="G65" s="26">
        <f>IFERROR('Cash Flow Data'!I4,0)</f>
        <v>18891</v>
      </c>
      <c r="H65" s="26">
        <f>IFERROR('Cash Flow Data'!J4,0)</f>
        <v>26633</v>
      </c>
      <c r="I65" s="26">
        <f>IFERROR('Cash Flow Data'!K4,0)</f>
        <v>29001</v>
      </c>
      <c r="J65" s="26">
        <f>IFERROR('Cash Flow Data'!L4,0)</f>
        <v>14283</v>
      </c>
      <c r="K65" s="26">
        <f>IFERROR('Cash Flow Data'!M4,0)</f>
        <v>35388</v>
      </c>
      <c r="L65" s="26">
        <f>IFERROR('Cash Flow Data'!N4,0)</f>
        <v>67915</v>
      </c>
    </row>
    <row r="66" spans="2:22" s="26" customFormat="1" ht="29" x14ac:dyDescent="0.35">
      <c r="B66" s="26" t="s">
        <v>85</v>
      </c>
      <c r="C66" s="26">
        <f>IFERROR('Cash Flow Data'!E5,0)</f>
        <v>43397</v>
      </c>
      <c r="D66" s="26">
        <f>IFERROR('Cash Flow Data'!F5,0)</f>
        <v>38626</v>
      </c>
      <c r="E66" s="26">
        <f>IFERROR('Cash Flow Data'!G5,0)</f>
        <v>28840</v>
      </c>
      <c r="F66" s="26">
        <f>IFERROR('Cash Flow Data'!H5,0)</f>
        <v>33312</v>
      </c>
      <c r="G66" s="26">
        <f>IFERROR('Cash Flow Data'!I5,0)</f>
        <v>28771</v>
      </c>
      <c r="H66" s="26">
        <f>IFERROR('Cash Flow Data'!J5,0)</f>
        <v>23352</v>
      </c>
      <c r="I66" s="26">
        <f>IFERROR('Cash Flow Data'!K5,0)</f>
        <v>31198</v>
      </c>
      <c r="J66" s="26">
        <f>IFERROR('Cash Flow Data'!L5,0)</f>
        <v>26943</v>
      </c>
      <c r="K66" s="26">
        <f>IFERROR('Cash Flow Data'!M5,0)</f>
        <v>41694</v>
      </c>
      <c r="L66" s="26">
        <f>IFERROR('Cash Flow Data'!N5,0)</f>
        <v>65106</v>
      </c>
    </row>
    <row r="67" spans="2:22" s="26" customFormat="1" x14ac:dyDescent="0.35">
      <c r="B67" s="26" t="s">
        <v>44</v>
      </c>
      <c r="C67" s="26">
        <f>IFERROR('Cash Flow Data'!E6,0)</f>
        <v>-3179</v>
      </c>
      <c r="D67" s="26">
        <f>IFERROR('Cash Flow Data'!F6,0)</f>
        <v>-2223</v>
      </c>
      <c r="E67" s="26">
        <f>IFERROR('Cash Flow Data'!G6,0)</f>
        <v>-4152</v>
      </c>
      <c r="F67" s="26">
        <f>IFERROR('Cash Flow Data'!H6,0)</f>
        <v>-10688</v>
      </c>
      <c r="G67" s="26">
        <f>IFERROR('Cash Flow Data'!I6,0)</f>
        <v>-9109</v>
      </c>
      <c r="H67" s="26">
        <f>IFERROR('Cash Flow Data'!J6,0)</f>
        <v>9950</v>
      </c>
      <c r="I67" s="26">
        <f>IFERROR('Cash Flow Data'!K6,0)</f>
        <v>-5505</v>
      </c>
      <c r="J67" s="26">
        <f>IFERROR('Cash Flow Data'!L6,0)</f>
        <v>185</v>
      </c>
      <c r="K67" s="26">
        <f>IFERROR('Cash Flow Data'!M6,0)</f>
        <v>-2213</v>
      </c>
      <c r="L67" s="26">
        <f>IFERROR('Cash Flow Data'!N6,0)</f>
        <v>-1875</v>
      </c>
    </row>
    <row r="68" spans="2:22" s="26" customFormat="1" x14ac:dyDescent="0.35">
      <c r="B68" s="26" t="s">
        <v>30</v>
      </c>
      <c r="C68" s="26">
        <f>IFERROR('Cash Flow Data'!E7,0)</f>
        <v>-3692</v>
      </c>
      <c r="D68" s="26">
        <f>IFERROR('Cash Flow Data'!F7,0)</f>
        <v>-5743</v>
      </c>
      <c r="E68" s="26">
        <f>IFERROR('Cash Flow Data'!G7,0)</f>
        <v>-6621</v>
      </c>
      <c r="F68" s="26">
        <f>IFERROR('Cash Flow Data'!H7,0)</f>
        <v>-3560</v>
      </c>
      <c r="G68" s="26">
        <f>IFERROR('Cash Flow Data'!I7,0)</f>
        <v>2069</v>
      </c>
      <c r="H68" s="26">
        <f>IFERROR('Cash Flow Data'!J7,0)</f>
        <v>2326</v>
      </c>
      <c r="I68" s="26">
        <f>IFERROR('Cash Flow Data'!K7,0)</f>
        <v>3814</v>
      </c>
      <c r="J68" s="26">
        <f>IFERROR('Cash Flow Data'!L7,0)</f>
        <v>472</v>
      </c>
      <c r="K68" s="26">
        <f>IFERROR('Cash Flow Data'!M7,0)</f>
        <v>-5665</v>
      </c>
      <c r="L68" s="26">
        <f>IFERROR('Cash Flow Data'!N7,0)</f>
        <v>-7265</v>
      </c>
    </row>
    <row r="69" spans="2:22" s="26" customFormat="1" x14ac:dyDescent="0.35">
      <c r="B69" s="26" t="s">
        <v>86</v>
      </c>
      <c r="C69" s="26">
        <f>IFERROR('Cash Flow Data'!E8,0)</f>
        <v>3598</v>
      </c>
      <c r="D69" s="26">
        <f>IFERROR('Cash Flow Data'!F8,0)</f>
        <v>3947</v>
      </c>
      <c r="E69" s="26">
        <f>IFERROR('Cash Flow Data'!G8,0)</f>
        <v>9301</v>
      </c>
      <c r="F69" s="26">
        <f>IFERROR('Cash Flow Data'!H8,0)</f>
        <v>7320</v>
      </c>
      <c r="G69" s="26">
        <f>IFERROR('Cash Flow Data'!I8,0)</f>
        <v>-4692</v>
      </c>
      <c r="H69" s="26">
        <f>IFERROR('Cash Flow Data'!J8,0)</f>
        <v>-8085</v>
      </c>
      <c r="I69" s="26">
        <f>IFERROR('Cash Flow Data'!K8,0)</f>
        <v>5748</v>
      </c>
      <c r="J69" s="26">
        <f>IFERROR('Cash Flow Data'!L8,0)</f>
        <v>-7012</v>
      </c>
      <c r="K69" s="26">
        <f>IFERROR('Cash Flow Data'!M8,0)</f>
        <v>6945</v>
      </c>
      <c r="L69" s="26">
        <f>IFERROR('Cash Flow Data'!N8,0)</f>
        <v>13706</v>
      </c>
    </row>
    <row r="70" spans="2:22" s="26" customFormat="1" x14ac:dyDescent="0.35">
      <c r="B70" s="26" t="s">
        <v>87</v>
      </c>
      <c r="C70" s="26">
        <f>IFERROR('Cash Flow Data'!E9,0)</f>
        <v>0</v>
      </c>
      <c r="D70" s="26">
        <f>IFERROR('Cash Flow Data'!F9,0)</f>
        <v>-520</v>
      </c>
      <c r="E70" s="26">
        <f>IFERROR('Cash Flow Data'!G9,0)</f>
        <v>0</v>
      </c>
      <c r="F70" s="26">
        <f>IFERROR('Cash Flow Data'!H9,0)</f>
        <v>0</v>
      </c>
      <c r="G70" s="26">
        <f>IFERROR('Cash Flow Data'!I9,0)</f>
        <v>0</v>
      </c>
      <c r="H70" s="26">
        <f>IFERROR('Cash Flow Data'!J9,0)</f>
        <v>0</v>
      </c>
      <c r="I70" s="26">
        <f>IFERROR('Cash Flow Data'!K9,0)</f>
        <v>0</v>
      </c>
      <c r="J70" s="26">
        <f>IFERROR('Cash Flow Data'!L9,0)</f>
        <v>0</v>
      </c>
      <c r="K70" s="26">
        <f>IFERROR('Cash Flow Data'!M9,0)</f>
        <v>0</v>
      </c>
      <c r="L70" s="26">
        <f>IFERROR('Cash Flow Data'!N9,0)</f>
        <v>0</v>
      </c>
    </row>
    <row r="71" spans="2:22" s="26" customFormat="1" x14ac:dyDescent="0.35">
      <c r="B71" s="26" t="s">
        <v>88</v>
      </c>
      <c r="C71" s="26">
        <f>IFERROR('Cash Flow Data'!E10,0)</f>
        <v>-398</v>
      </c>
      <c r="D71" s="26">
        <f>IFERROR('Cash Flow Data'!F10,0)</f>
        <v>5852</v>
      </c>
      <c r="E71" s="26">
        <f>IFERROR('Cash Flow Data'!G10,0)</f>
        <v>4727</v>
      </c>
      <c r="F71" s="26">
        <f>IFERROR('Cash Flow Data'!H10,0)</f>
        <v>494</v>
      </c>
      <c r="G71" s="26">
        <f>IFERROR('Cash Flow Data'!I10,0)</f>
        <v>4512</v>
      </c>
      <c r="H71" s="26">
        <f>IFERROR('Cash Flow Data'!J10,0)</f>
        <v>875</v>
      </c>
      <c r="I71" s="26">
        <f>IFERROR('Cash Flow Data'!K10,0)</f>
        <v>-4150</v>
      </c>
      <c r="J71" s="26">
        <f>IFERROR('Cash Flow Data'!L10,0)</f>
        <v>-4396</v>
      </c>
      <c r="K71" s="26">
        <f>IFERROR('Cash Flow Data'!M10,0)</f>
        <v>-2194</v>
      </c>
      <c r="L71" s="26">
        <f>IFERROR('Cash Flow Data'!N10,0)</f>
        <v>2760</v>
      </c>
    </row>
    <row r="72" spans="2:22" s="26" customFormat="1" ht="29" x14ac:dyDescent="0.35">
      <c r="B72" s="26" t="s">
        <v>89</v>
      </c>
      <c r="C72" s="26">
        <f>IFERROR('Cash Flow Data'!E11,0)</f>
        <v>-3672</v>
      </c>
      <c r="D72" s="26">
        <f>IFERROR('Cash Flow Data'!F11,0)</f>
        <v>1313</v>
      </c>
      <c r="E72" s="26">
        <f>IFERROR('Cash Flow Data'!G11,0)</f>
        <v>3254</v>
      </c>
      <c r="F72" s="26">
        <f>IFERROR('Cash Flow Data'!H11,0)</f>
        <v>-6434</v>
      </c>
      <c r="G72" s="26">
        <f>IFERROR('Cash Flow Data'!I11,0)</f>
        <v>-7221</v>
      </c>
      <c r="H72" s="26">
        <f>IFERROR('Cash Flow Data'!J11,0)</f>
        <v>5065</v>
      </c>
      <c r="I72" s="26">
        <f>IFERROR('Cash Flow Data'!K11,0)</f>
        <v>-93</v>
      </c>
      <c r="J72" s="26">
        <f>IFERROR('Cash Flow Data'!L11,0)</f>
        <v>-10750</v>
      </c>
      <c r="K72" s="26">
        <f>IFERROR('Cash Flow Data'!M11,0)</f>
        <v>-3127</v>
      </c>
      <c r="L72" s="26">
        <f>IFERROR('Cash Flow Data'!N11,0)</f>
        <v>7325</v>
      </c>
    </row>
    <row r="73" spans="2:22" s="26" customFormat="1" x14ac:dyDescent="0.35">
      <c r="B73" s="26" t="s">
        <v>90</v>
      </c>
      <c r="C73" s="26">
        <f>IFERROR('Cash Flow Data'!E12,0)</f>
        <v>-4194</v>
      </c>
      <c r="D73" s="26">
        <f>IFERROR('Cash Flow Data'!F12,0)</f>
        <v>-2040</v>
      </c>
      <c r="E73" s="26">
        <f>IFERROR('Cash Flow Data'!G12,0)</f>
        <v>-1895</v>
      </c>
      <c r="F73" s="26">
        <f>IFERROR('Cash Flow Data'!H12,0)</f>
        <v>-3021</v>
      </c>
      <c r="G73" s="26">
        <f>IFERROR('Cash Flow Data'!I12,0)</f>
        <v>-2659</v>
      </c>
      <c r="H73" s="26">
        <f>IFERROR('Cash Flow Data'!J12,0)</f>
        <v>-1785</v>
      </c>
      <c r="I73" s="26">
        <f>IFERROR('Cash Flow Data'!K12,0)</f>
        <v>-2105</v>
      </c>
      <c r="J73" s="26">
        <f>IFERROR('Cash Flow Data'!L12,0)</f>
        <v>-1910</v>
      </c>
      <c r="K73" s="26">
        <f>IFERROR('Cash Flow Data'!M12,0)</f>
        <v>-3179</v>
      </c>
      <c r="L73" s="26">
        <f>IFERROR('Cash Flow Data'!N12,0)</f>
        <v>-4516</v>
      </c>
    </row>
    <row r="75" spans="2:22" ht="29" x14ac:dyDescent="0.35">
      <c r="B75" s="46" t="s">
        <v>91</v>
      </c>
      <c r="C75" s="26">
        <f>IFERROR('Cash Flow Data'!E13,0)</f>
        <v>-36232</v>
      </c>
      <c r="D75" s="26">
        <f>IFERROR('Cash Flow Data'!F13,0)</f>
        <v>-36694</v>
      </c>
      <c r="E75" s="26">
        <f>IFERROR('Cash Flow Data'!G13,0)</f>
        <v>-39571</v>
      </c>
      <c r="F75" s="26">
        <f>IFERROR('Cash Flow Data'!H13,0)</f>
        <v>-25139</v>
      </c>
      <c r="G75" s="26">
        <f>IFERROR('Cash Flow Data'!I13,0)</f>
        <v>-20878</v>
      </c>
      <c r="H75" s="26">
        <f>IFERROR('Cash Flow Data'!J13,0)</f>
        <v>-33115</v>
      </c>
      <c r="I75" s="26">
        <f>IFERROR('Cash Flow Data'!K13,0)</f>
        <v>-25672</v>
      </c>
      <c r="J75" s="26">
        <f>IFERROR('Cash Flow Data'!L13,0)</f>
        <v>-4444</v>
      </c>
      <c r="K75" s="26">
        <f>IFERROR('Cash Flow Data'!M13,0)</f>
        <v>-15417</v>
      </c>
      <c r="L75" s="26">
        <f>IFERROR('Cash Flow Data'!N13,0)</f>
        <v>-22782</v>
      </c>
      <c r="M75" s="26"/>
      <c r="N75" s="26"/>
      <c r="O75" s="26"/>
      <c r="P75" s="26"/>
      <c r="Q75" s="26"/>
      <c r="R75" s="26"/>
      <c r="S75" s="26"/>
      <c r="T75" s="26"/>
      <c r="U75" s="26"/>
      <c r="V75" s="26"/>
    </row>
    <row r="76" spans="2:22" ht="29" x14ac:dyDescent="0.35">
      <c r="B76" s="40" t="s">
        <v>92</v>
      </c>
      <c r="C76" s="26">
        <f>IFERROR('Cash Flow Data'!E14,0)</f>
        <v>-31962</v>
      </c>
      <c r="D76" s="26">
        <f>IFERROR('Cash Flow Data'!F14,0)</f>
        <v>-31503</v>
      </c>
      <c r="E76" s="26">
        <f>IFERROR('Cash Flow Data'!G14,0)</f>
        <v>-16072</v>
      </c>
      <c r="F76" s="26">
        <f>IFERROR('Cash Flow Data'!H14,0)</f>
        <v>-35079</v>
      </c>
      <c r="G76" s="26">
        <f>IFERROR('Cash Flow Data'!I14,0)</f>
        <v>-35304</v>
      </c>
      <c r="H76" s="26">
        <f>IFERROR('Cash Flow Data'!J14,0)</f>
        <v>-29702</v>
      </c>
      <c r="I76" s="26">
        <f>IFERROR('Cash Flow Data'!K14,0)</f>
        <v>-20205</v>
      </c>
      <c r="J76" s="26">
        <f>IFERROR('Cash Flow Data'!L14,0)</f>
        <v>-15168</v>
      </c>
      <c r="K76" s="26">
        <f>IFERROR('Cash Flow Data'!M14,0)</f>
        <v>-19230</v>
      </c>
      <c r="L76" s="26">
        <f>IFERROR('Cash Flow Data'!N14,0)</f>
        <v>-31414</v>
      </c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 spans="2:22" x14ac:dyDescent="0.35">
      <c r="B77" s="40" t="s">
        <v>93</v>
      </c>
      <c r="C77" s="26">
        <f>IFERROR('Cash Flow Data'!E15,0)</f>
        <v>74</v>
      </c>
      <c r="D77" s="26">
        <f>IFERROR('Cash Flow Data'!F15,0)</f>
        <v>59</v>
      </c>
      <c r="E77" s="26">
        <f>IFERROR('Cash Flow Data'!G15,0)</f>
        <v>53</v>
      </c>
      <c r="F77" s="26">
        <f>IFERROR('Cash Flow Data'!H15,0)</f>
        <v>30</v>
      </c>
      <c r="G77" s="26">
        <f>IFERROR('Cash Flow Data'!I15,0)</f>
        <v>67</v>
      </c>
      <c r="H77" s="26">
        <f>IFERROR('Cash Flow Data'!J15,0)</f>
        <v>171</v>
      </c>
      <c r="I77" s="26">
        <f>IFERROR('Cash Flow Data'!K15,0)</f>
        <v>351</v>
      </c>
      <c r="J77" s="26">
        <f>IFERROR('Cash Flow Data'!L15,0)</f>
        <v>230</v>
      </c>
      <c r="K77" s="26">
        <f>IFERROR('Cash Flow Data'!M15,0)</f>
        <v>285</v>
      </c>
      <c r="L77" s="26">
        <f>IFERROR('Cash Flow Data'!N15,0)</f>
        <v>231</v>
      </c>
      <c r="M77" s="26"/>
      <c r="N77" s="26"/>
      <c r="O77" s="26"/>
      <c r="P77" s="26"/>
      <c r="Q77" s="26"/>
      <c r="R77" s="26"/>
      <c r="S77" s="26"/>
      <c r="T77" s="26"/>
      <c r="U77" s="26"/>
      <c r="V77" s="26"/>
    </row>
    <row r="78" spans="2:22" ht="29" x14ac:dyDescent="0.35">
      <c r="B78" s="40" t="s">
        <v>94</v>
      </c>
      <c r="C78" s="26">
        <f>IFERROR('Cash Flow Data'!E16,0)</f>
        <v>-5461</v>
      </c>
      <c r="D78" s="26">
        <f>IFERROR('Cash Flow Data'!F16,0)</f>
        <v>-4728</v>
      </c>
      <c r="E78" s="26">
        <f>IFERROR('Cash Flow Data'!G16,0)</f>
        <v>-6</v>
      </c>
      <c r="F78" s="26">
        <f>IFERROR('Cash Flow Data'!H16,0)</f>
        <v>-329</v>
      </c>
      <c r="G78" s="26">
        <f>IFERROR('Cash Flow Data'!I16,0)</f>
        <v>-130</v>
      </c>
      <c r="H78" s="26">
        <f>IFERROR('Cash Flow Data'!J16,0)</f>
        <v>-1439</v>
      </c>
      <c r="I78" s="26">
        <f>IFERROR('Cash Flow Data'!K16,0)</f>
        <v>-7530</v>
      </c>
      <c r="J78" s="26">
        <f>IFERROR('Cash Flow Data'!L16,0)</f>
        <v>-3008</v>
      </c>
      <c r="K78" s="26">
        <f>IFERROR('Cash Flow Data'!M16,0)</f>
        <v>-50</v>
      </c>
      <c r="L78" s="26">
        <f>IFERROR('Cash Flow Data'!N16,0)</f>
        <v>-74</v>
      </c>
      <c r="M78" s="26"/>
      <c r="N78" s="26"/>
      <c r="O78" s="26"/>
      <c r="P78" s="26"/>
      <c r="Q78" s="26"/>
      <c r="R78" s="26"/>
      <c r="S78" s="26"/>
      <c r="T78" s="26"/>
      <c r="U78" s="26"/>
      <c r="V78" s="26"/>
    </row>
    <row r="79" spans="2:22" x14ac:dyDescent="0.35">
      <c r="B79" s="40" t="s">
        <v>95</v>
      </c>
      <c r="C79" s="26">
        <f>IFERROR('Cash Flow Data'!E17,0)</f>
        <v>42</v>
      </c>
      <c r="D79" s="26">
        <f>IFERROR('Cash Flow Data'!F17,0)</f>
        <v>89</v>
      </c>
      <c r="E79" s="26">
        <f>IFERROR('Cash Flow Data'!G17,0)</f>
        <v>1965</v>
      </c>
      <c r="F79" s="26">
        <f>IFERROR('Cash Flow Data'!H17,0)</f>
        <v>2381</v>
      </c>
      <c r="G79" s="26">
        <f>IFERROR('Cash Flow Data'!I17,0)</f>
        <v>5644</v>
      </c>
      <c r="H79" s="26">
        <f>IFERROR('Cash Flow Data'!J17,0)</f>
        <v>21</v>
      </c>
      <c r="I79" s="26">
        <f>IFERROR('Cash Flow Data'!K17,0)</f>
        <v>226</v>
      </c>
      <c r="J79" s="26">
        <f>IFERROR('Cash Flow Data'!L17,0)</f>
        <v>104</v>
      </c>
      <c r="K79" s="26">
        <f>IFERROR('Cash Flow Data'!M17,0)</f>
        <v>6895</v>
      </c>
      <c r="L79" s="26">
        <f>IFERROR('Cash Flow Data'!N17,0)</f>
        <v>10820</v>
      </c>
      <c r="M79" s="26"/>
      <c r="N79" s="26"/>
      <c r="O79" s="26"/>
      <c r="P79" s="26"/>
      <c r="Q79" s="26"/>
      <c r="R79" s="26"/>
      <c r="S79" s="26"/>
      <c r="T79" s="26"/>
      <c r="U79" s="26"/>
      <c r="V79" s="26"/>
    </row>
    <row r="80" spans="2:22" x14ac:dyDescent="0.35">
      <c r="B80" s="40" t="s">
        <v>96</v>
      </c>
      <c r="C80" s="26">
        <f>IFERROR('Cash Flow Data'!E18,0)</f>
        <v>698</v>
      </c>
      <c r="D80" s="26">
        <f>IFERROR('Cash Flow Data'!F18,0)</f>
        <v>731</v>
      </c>
      <c r="E80" s="26">
        <f>IFERROR('Cash Flow Data'!G18,0)</f>
        <v>638</v>
      </c>
      <c r="F80" s="26">
        <f>IFERROR('Cash Flow Data'!H18,0)</f>
        <v>690</v>
      </c>
      <c r="G80" s="26">
        <f>IFERROR('Cash Flow Data'!I18,0)</f>
        <v>761</v>
      </c>
      <c r="H80" s="26">
        <f>IFERROR('Cash Flow Data'!J18,0)</f>
        <v>1104</v>
      </c>
      <c r="I80" s="26">
        <f>IFERROR('Cash Flow Data'!K18,0)</f>
        <v>428</v>
      </c>
      <c r="J80" s="26">
        <f>IFERROR('Cash Flow Data'!L18,0)</f>
        <v>653</v>
      </c>
      <c r="K80" s="26">
        <f>IFERROR('Cash Flow Data'!M18,0)</f>
        <v>973</v>
      </c>
      <c r="L80" s="26">
        <f>IFERROR('Cash Flow Data'!N18,0)</f>
        <v>2493</v>
      </c>
      <c r="M80" s="26"/>
      <c r="N80" s="26"/>
      <c r="O80" s="26"/>
      <c r="P80" s="26"/>
      <c r="Q80" s="26"/>
      <c r="R80" s="26"/>
      <c r="S80" s="26"/>
      <c r="T80" s="26"/>
      <c r="U80" s="26"/>
      <c r="V80" s="26"/>
    </row>
    <row r="81" spans="2:22" ht="29" x14ac:dyDescent="0.35">
      <c r="B81" s="40" t="s">
        <v>97</v>
      </c>
      <c r="C81" s="26">
        <f>IFERROR('Cash Flow Data'!E19,0)</f>
        <v>80</v>
      </c>
      <c r="D81" s="26">
        <f>IFERROR('Cash Flow Data'!F19,0)</f>
        <v>58</v>
      </c>
      <c r="E81" s="26">
        <f>IFERROR('Cash Flow Data'!G19,0)</f>
        <v>620</v>
      </c>
      <c r="F81" s="26">
        <f>IFERROR('Cash Flow Data'!H19,0)</f>
        <v>1797</v>
      </c>
      <c r="G81" s="26">
        <f>IFERROR('Cash Flow Data'!I19,0)</f>
        <v>232</v>
      </c>
      <c r="H81" s="26">
        <f>IFERROR('Cash Flow Data'!J19,0)</f>
        <v>21</v>
      </c>
      <c r="I81" s="26">
        <f>IFERROR('Cash Flow Data'!K19,0)</f>
        <v>18</v>
      </c>
      <c r="J81" s="26">
        <f>IFERROR('Cash Flow Data'!L19,0)</f>
        <v>32</v>
      </c>
      <c r="K81" s="26">
        <f>IFERROR('Cash Flow Data'!M19,0)</f>
        <v>46</v>
      </c>
      <c r="L81" s="26">
        <f>IFERROR('Cash Flow Data'!N19,0)</f>
        <v>47</v>
      </c>
      <c r="M81" s="26"/>
      <c r="N81" s="26"/>
      <c r="O81" s="26"/>
      <c r="P81" s="26"/>
      <c r="Q81" s="26"/>
      <c r="R81" s="26"/>
      <c r="S81" s="26"/>
      <c r="T81" s="26"/>
      <c r="U81" s="26"/>
      <c r="V81" s="26"/>
    </row>
    <row r="82" spans="2:22" ht="29" x14ac:dyDescent="0.35">
      <c r="B82" s="40" t="s">
        <v>98</v>
      </c>
      <c r="C82" s="26">
        <f>IFERROR('Cash Flow Data'!E20,0)</f>
        <v>-160</v>
      </c>
      <c r="D82" s="26">
        <f>IFERROR('Cash Flow Data'!F20,0)</f>
        <v>0</v>
      </c>
      <c r="E82" s="26">
        <f>IFERROR('Cash Flow Data'!G20,0)</f>
        <v>-107</v>
      </c>
      <c r="F82" s="26">
        <f>IFERROR('Cash Flow Data'!H20,0)</f>
        <v>-4</v>
      </c>
      <c r="G82" s="26">
        <f>IFERROR('Cash Flow Data'!I20,0)</f>
        <v>-9</v>
      </c>
      <c r="H82" s="26">
        <f>IFERROR('Cash Flow Data'!J20,0)</f>
        <v>-606</v>
      </c>
      <c r="I82" s="26">
        <f>IFERROR('Cash Flow Data'!K20,0)</f>
        <v>-10</v>
      </c>
      <c r="J82" s="26">
        <f>IFERROR('Cash Flow Data'!L20,0)</f>
        <v>0</v>
      </c>
      <c r="K82" s="26">
        <f>IFERROR('Cash Flow Data'!M20,0)</f>
        <v>0</v>
      </c>
      <c r="L82" s="26">
        <f>IFERROR('Cash Flow Data'!N20,0)</f>
        <v>-150</v>
      </c>
      <c r="M82" s="26"/>
      <c r="N82" s="26"/>
      <c r="O82" s="26"/>
      <c r="P82" s="26"/>
      <c r="Q82" s="26"/>
      <c r="R82" s="26"/>
      <c r="S82" s="26"/>
      <c r="T82" s="26"/>
      <c r="U82" s="26"/>
      <c r="V82" s="26"/>
    </row>
    <row r="83" spans="2:22" ht="29" x14ac:dyDescent="0.35">
      <c r="B83" s="40" t="s">
        <v>99</v>
      </c>
      <c r="C83" s="26">
        <f>IFERROR('Cash Flow Data'!E21,0)</f>
        <v>0</v>
      </c>
      <c r="D83" s="26">
        <f>IFERROR('Cash Flow Data'!F21,0)</f>
        <v>0</v>
      </c>
      <c r="E83" s="26">
        <f>IFERROR('Cash Flow Data'!G21,0)</f>
        <v>0</v>
      </c>
      <c r="F83" s="26">
        <f>IFERROR('Cash Flow Data'!H21,0)</f>
        <v>14</v>
      </c>
      <c r="G83" s="26">
        <f>IFERROR('Cash Flow Data'!I21,0)</f>
        <v>533</v>
      </c>
      <c r="H83" s="26">
        <f>IFERROR('Cash Flow Data'!J21,0)</f>
        <v>0</v>
      </c>
      <c r="I83" s="26">
        <f>IFERROR('Cash Flow Data'!K21,0)</f>
        <v>0</v>
      </c>
      <c r="J83" s="26">
        <f>IFERROR('Cash Flow Data'!L21,0)</f>
        <v>0</v>
      </c>
      <c r="K83" s="26">
        <f>IFERROR('Cash Flow Data'!M21,0)</f>
        <v>19</v>
      </c>
      <c r="L83" s="26">
        <f>IFERROR('Cash Flow Data'!N21,0)</f>
        <v>108</v>
      </c>
      <c r="M83" s="26"/>
      <c r="N83" s="26"/>
      <c r="O83" s="26"/>
      <c r="P83" s="26"/>
      <c r="Q83" s="26"/>
      <c r="R83" s="26"/>
      <c r="S83" s="26"/>
      <c r="T83" s="26"/>
      <c r="U83" s="26"/>
      <c r="V83" s="26"/>
    </row>
    <row r="84" spans="2:22" ht="29" x14ac:dyDescent="0.35">
      <c r="B84" s="40" t="s">
        <v>100</v>
      </c>
      <c r="C84" s="26">
        <f>IFERROR('Cash Flow Data'!E22,0)</f>
        <v>0</v>
      </c>
      <c r="D84" s="26">
        <f>IFERROR('Cash Flow Data'!F22,0)</f>
        <v>-111</v>
      </c>
      <c r="E84" s="26">
        <f>IFERROR('Cash Flow Data'!G22,0)</f>
        <v>0</v>
      </c>
      <c r="F84" s="26">
        <f>IFERROR('Cash Flow Data'!H22,0)</f>
        <v>0</v>
      </c>
      <c r="G84" s="26">
        <f>IFERROR('Cash Flow Data'!I22,0)</f>
        <v>-8</v>
      </c>
      <c r="H84" s="26">
        <f>IFERROR('Cash Flow Data'!J22,0)</f>
        <v>-27</v>
      </c>
      <c r="I84" s="26">
        <f>IFERROR('Cash Flow Data'!K22,0)</f>
        <v>0</v>
      </c>
      <c r="J84" s="26">
        <f>IFERROR('Cash Flow Data'!L22,0)</f>
        <v>-98</v>
      </c>
      <c r="K84" s="26">
        <f>IFERROR('Cash Flow Data'!M22,0)</f>
        <v>0</v>
      </c>
      <c r="L84" s="26">
        <f>IFERROR('Cash Flow Data'!N22,0)</f>
        <v>0</v>
      </c>
      <c r="M84" s="26"/>
      <c r="N84" s="26"/>
      <c r="O84" s="26"/>
      <c r="P84" s="26"/>
      <c r="Q84" s="26"/>
      <c r="R84" s="26"/>
      <c r="S84" s="26"/>
      <c r="T84" s="26"/>
      <c r="U84" s="26"/>
      <c r="V84" s="26"/>
    </row>
    <row r="85" spans="2:22" ht="29" x14ac:dyDescent="0.35">
      <c r="B85" s="40" t="s">
        <v>101</v>
      </c>
      <c r="C85" s="26">
        <f>IFERROR('Cash Flow Data'!E23,0)</f>
        <v>0</v>
      </c>
      <c r="D85" s="26">
        <f>IFERROR('Cash Flow Data'!F23,0)</f>
        <v>0</v>
      </c>
      <c r="E85" s="26">
        <f>IFERROR('Cash Flow Data'!G23,0)</f>
        <v>0</v>
      </c>
      <c r="F85" s="26">
        <f>IFERROR('Cash Flow Data'!H23,0)</f>
        <v>0</v>
      </c>
      <c r="G85" s="26">
        <f>IFERROR('Cash Flow Data'!I23,0)</f>
        <v>0</v>
      </c>
      <c r="H85" s="26">
        <f>IFERROR('Cash Flow Data'!J23,0)</f>
        <v>0</v>
      </c>
      <c r="I85" s="26">
        <f>IFERROR('Cash Flow Data'!K23,0)</f>
        <v>0</v>
      </c>
      <c r="J85" s="26">
        <f>IFERROR('Cash Flow Data'!L23,0)</f>
        <v>0</v>
      </c>
      <c r="K85" s="26">
        <f>IFERROR('Cash Flow Data'!M23,0)</f>
        <v>0</v>
      </c>
      <c r="L85" s="26">
        <f>IFERROR('Cash Flow Data'!N23,0)</f>
        <v>-24</v>
      </c>
      <c r="M85" s="26"/>
      <c r="N85" s="26"/>
      <c r="O85" s="26"/>
      <c r="P85" s="26"/>
      <c r="Q85" s="26"/>
      <c r="R85" s="26"/>
      <c r="S85" s="26"/>
      <c r="T85" s="26"/>
      <c r="U85" s="26"/>
      <c r="V85" s="26"/>
    </row>
    <row r="86" spans="2:22" ht="29" x14ac:dyDescent="0.35">
      <c r="B86" s="40" t="s">
        <v>102</v>
      </c>
      <c r="C86" s="26">
        <f>IFERROR('Cash Flow Data'!E24,0)</f>
        <v>456</v>
      </c>
      <c r="D86" s="26">
        <f>IFERROR('Cash Flow Data'!F24,0)</f>
        <v>-1289</v>
      </c>
      <c r="E86" s="26">
        <f>IFERROR('Cash Flow Data'!G24,0)</f>
        <v>-26663</v>
      </c>
      <c r="F86" s="26">
        <f>IFERROR('Cash Flow Data'!H24,0)</f>
        <v>5360</v>
      </c>
      <c r="G86" s="26">
        <f>IFERROR('Cash Flow Data'!I24,0)</f>
        <v>7335</v>
      </c>
      <c r="H86" s="26">
        <f>IFERROR('Cash Flow Data'!J24,0)</f>
        <v>-2659</v>
      </c>
      <c r="I86" s="26">
        <f>IFERROR('Cash Flow Data'!K24,0)</f>
        <v>1051</v>
      </c>
      <c r="J86" s="26">
        <f>IFERROR('Cash Flow Data'!L24,0)</f>
        <v>12813</v>
      </c>
      <c r="K86" s="26">
        <f>IFERROR('Cash Flow Data'!M24,0)</f>
        <v>-4357</v>
      </c>
      <c r="L86" s="26">
        <f>IFERROR('Cash Flow Data'!N24,0)</f>
        <v>-4817</v>
      </c>
      <c r="M86" s="26"/>
      <c r="N86" s="26"/>
      <c r="O86" s="26"/>
      <c r="P86" s="26"/>
      <c r="Q86" s="26"/>
      <c r="R86" s="26"/>
      <c r="S86" s="26"/>
      <c r="T86" s="26"/>
      <c r="U86" s="26"/>
      <c r="V86" s="26"/>
    </row>
    <row r="89" spans="2:22" s="26" customFormat="1" ht="29" x14ac:dyDescent="0.35">
      <c r="B89" s="26" t="s">
        <v>103</v>
      </c>
      <c r="C89" s="26">
        <f>IFERROR('Cash Flow Data'!E25,0)</f>
        <v>5201</v>
      </c>
      <c r="D89" s="26">
        <f>IFERROR('Cash Flow Data'!F25,0)</f>
        <v>-3795</v>
      </c>
      <c r="E89" s="26">
        <f>IFERROR('Cash Flow Data'!G25,0)</f>
        <v>6205</v>
      </c>
      <c r="F89" s="26">
        <f>IFERROR('Cash Flow Data'!H25,0)</f>
        <v>2012</v>
      </c>
      <c r="G89" s="26">
        <f>IFERROR('Cash Flow Data'!I25,0)</f>
        <v>8830</v>
      </c>
      <c r="H89" s="26">
        <f>IFERROR('Cash Flow Data'!J25,0)</f>
        <v>3390</v>
      </c>
      <c r="I89" s="26">
        <f>IFERROR('Cash Flow Data'!K25,0)</f>
        <v>9904</v>
      </c>
      <c r="J89" s="26">
        <f>IFERROR('Cash Flow Data'!L25,0)</f>
        <v>-3380</v>
      </c>
      <c r="K89" s="26">
        <f>IFERROR('Cash Flow Data'!M25,0)</f>
        <v>-26243</v>
      </c>
      <c r="L89" s="26">
        <f>IFERROR('Cash Flow Data'!N25,0)</f>
        <v>-37006</v>
      </c>
    </row>
    <row r="90" spans="2:22" s="26" customFormat="1" ht="29" x14ac:dyDescent="0.35">
      <c r="B90" s="26" t="s">
        <v>104</v>
      </c>
      <c r="C90" s="26">
        <f>IFERROR('Cash Flow Data'!E26,0)</f>
        <v>0</v>
      </c>
      <c r="D90" s="26">
        <f>IFERROR('Cash Flow Data'!F26,0)</f>
        <v>7433</v>
      </c>
      <c r="E90" s="26">
        <f>IFERROR('Cash Flow Data'!G26,0)</f>
        <v>5</v>
      </c>
      <c r="F90" s="26">
        <f>IFERROR('Cash Flow Data'!H26,0)</f>
        <v>0</v>
      </c>
      <c r="G90" s="26">
        <f>IFERROR('Cash Flow Data'!I26,0)</f>
        <v>0</v>
      </c>
      <c r="H90" s="26">
        <f>IFERROR('Cash Flow Data'!J26,0)</f>
        <v>3889</v>
      </c>
      <c r="I90" s="26">
        <f>IFERROR('Cash Flow Data'!K26,0)</f>
        <v>2603</v>
      </c>
      <c r="J90" s="26">
        <f>IFERROR('Cash Flow Data'!L26,0)</f>
        <v>19</v>
      </c>
      <c r="K90" s="26">
        <f>IFERROR('Cash Flow Data'!M26,0)</f>
        <v>20</v>
      </c>
      <c r="L90" s="26">
        <f>IFERROR('Cash Flow Data'!N26,0)</f>
        <v>82</v>
      </c>
    </row>
    <row r="91" spans="2:22" s="26" customFormat="1" ht="29" x14ac:dyDescent="0.35">
      <c r="B91" s="26" t="s">
        <v>105</v>
      </c>
      <c r="C91" s="26">
        <f>IFERROR('Cash Flow Data'!E27,0)</f>
        <v>-744</v>
      </c>
      <c r="D91" s="26">
        <f>IFERROR('Cash Flow Data'!F27,0)</f>
        <v>0</v>
      </c>
      <c r="E91" s="26">
        <f>IFERROR('Cash Flow Data'!G27,0)</f>
        <v>0</v>
      </c>
      <c r="F91" s="26">
        <f>IFERROR('Cash Flow Data'!H27,0)</f>
        <v>0</v>
      </c>
      <c r="G91" s="26">
        <f>IFERROR('Cash Flow Data'!I27,0)</f>
        <v>0</v>
      </c>
      <c r="H91" s="26">
        <f>IFERROR('Cash Flow Data'!J27,0)</f>
        <v>0</v>
      </c>
      <c r="I91" s="26">
        <f>IFERROR('Cash Flow Data'!K27,0)</f>
        <v>0</v>
      </c>
      <c r="J91" s="26">
        <f>IFERROR('Cash Flow Data'!L27,0)</f>
        <v>0</v>
      </c>
      <c r="K91" s="26">
        <f>IFERROR('Cash Flow Data'!M27,0)</f>
        <v>0</v>
      </c>
      <c r="L91" s="26">
        <f>IFERROR('Cash Flow Data'!N27,0)</f>
        <v>0</v>
      </c>
    </row>
    <row r="92" spans="2:22" s="26" customFormat="1" ht="29" x14ac:dyDescent="0.35">
      <c r="B92" s="26" t="s">
        <v>106</v>
      </c>
      <c r="C92" s="26">
        <f>IFERROR('Cash Flow Data'!E28,0)</f>
        <v>36363</v>
      </c>
      <c r="D92" s="26">
        <f>IFERROR('Cash Flow Data'!F28,0)</f>
        <v>19519</v>
      </c>
      <c r="E92" s="26">
        <f>IFERROR('Cash Flow Data'!G28,0)</f>
        <v>33390</v>
      </c>
      <c r="F92" s="26">
        <f>IFERROR('Cash Flow Data'!H28,0)</f>
        <v>37482</v>
      </c>
      <c r="G92" s="26">
        <f>IFERROR('Cash Flow Data'!I28,0)</f>
        <v>51128</v>
      </c>
      <c r="H92" s="26">
        <f>IFERROR('Cash Flow Data'!J28,0)</f>
        <v>38297</v>
      </c>
      <c r="I92" s="26">
        <f>IFERROR('Cash Flow Data'!K28,0)</f>
        <v>46641</v>
      </c>
      <c r="J92" s="26">
        <f>IFERROR('Cash Flow Data'!L28,0)</f>
        <v>46578</v>
      </c>
      <c r="K92" s="26">
        <f>IFERROR('Cash Flow Data'!M28,0)</f>
        <v>43934</v>
      </c>
      <c r="L92" s="26">
        <f>IFERROR('Cash Flow Data'!N28,0)</f>
        <v>18747</v>
      </c>
    </row>
    <row r="93" spans="2:22" s="26" customFormat="1" ht="29" x14ac:dyDescent="0.35">
      <c r="B93" s="26" t="s">
        <v>107</v>
      </c>
      <c r="C93" s="26">
        <f>IFERROR('Cash Flow Data'!E29,0)</f>
        <v>-23332</v>
      </c>
      <c r="D93" s="26">
        <f>IFERROR('Cash Flow Data'!F29,0)</f>
        <v>-24924</v>
      </c>
      <c r="E93" s="26">
        <f>IFERROR('Cash Flow Data'!G29,0)</f>
        <v>-21732</v>
      </c>
      <c r="F93" s="26">
        <f>IFERROR('Cash Flow Data'!H29,0)</f>
        <v>-29964</v>
      </c>
      <c r="G93" s="26">
        <f>IFERROR('Cash Flow Data'!I29,0)</f>
        <v>-35198</v>
      </c>
      <c r="H93" s="26">
        <f>IFERROR('Cash Flow Data'!J29,0)</f>
        <v>-29847</v>
      </c>
      <c r="I93" s="26">
        <f>IFERROR('Cash Flow Data'!K29,0)</f>
        <v>-29709</v>
      </c>
      <c r="J93" s="26">
        <f>IFERROR('Cash Flow Data'!L29,0)</f>
        <v>-42816</v>
      </c>
      <c r="K93" s="26">
        <f>IFERROR('Cash Flow Data'!M29,0)</f>
        <v>-62557</v>
      </c>
      <c r="L93" s="26">
        <f>IFERROR('Cash Flow Data'!N29,0)</f>
        <v>-47332</v>
      </c>
    </row>
    <row r="94" spans="2:22" s="26" customFormat="1" x14ac:dyDescent="0.35">
      <c r="B94" s="26" t="s">
        <v>108</v>
      </c>
      <c r="C94" s="26">
        <f>IFERROR('Cash Flow Data'!E30,0)</f>
        <v>-6307</v>
      </c>
      <c r="D94" s="26">
        <f>IFERROR('Cash Flow Data'!F30,0)</f>
        <v>-5716</v>
      </c>
      <c r="E94" s="26">
        <f>IFERROR('Cash Flow Data'!G30,0)</f>
        <v>-5336</v>
      </c>
      <c r="F94" s="26">
        <f>IFERROR('Cash Flow Data'!H30,0)</f>
        <v>-5411</v>
      </c>
      <c r="G94" s="26">
        <f>IFERROR('Cash Flow Data'!I30,0)</f>
        <v>-7005</v>
      </c>
      <c r="H94" s="26">
        <f>IFERROR('Cash Flow Data'!J30,0)</f>
        <v>-7518</v>
      </c>
      <c r="I94" s="26">
        <f>IFERROR('Cash Flow Data'!K30,0)</f>
        <v>-8123</v>
      </c>
      <c r="J94" s="26">
        <f>IFERROR('Cash Flow Data'!L30,0)</f>
        <v>-9251</v>
      </c>
      <c r="K94" s="26">
        <f>IFERROR('Cash Flow Data'!M30,0)</f>
        <v>-9336</v>
      </c>
      <c r="L94" s="26">
        <f>IFERROR('Cash Flow Data'!N30,0)</f>
        <v>-9332</v>
      </c>
    </row>
    <row r="95" spans="2:22" s="26" customFormat="1" x14ac:dyDescent="0.35">
      <c r="B95" s="26" t="s">
        <v>109</v>
      </c>
      <c r="C95" s="26">
        <f>IFERROR('Cash Flow Data'!E31,0)</f>
        <v>-720</v>
      </c>
      <c r="D95" s="26">
        <f>IFERROR('Cash Flow Data'!F31,0)</f>
        <v>-108</v>
      </c>
      <c r="E95" s="26">
        <f>IFERROR('Cash Flow Data'!G31,0)</f>
        <v>-121</v>
      </c>
      <c r="F95" s="26">
        <f>IFERROR('Cash Flow Data'!H31,0)</f>
        <v>-96</v>
      </c>
      <c r="G95" s="26">
        <f>IFERROR('Cash Flow Data'!I31,0)</f>
        <v>-95</v>
      </c>
      <c r="H95" s="26">
        <f>IFERROR('Cash Flow Data'!J31,0)</f>
        <v>-57</v>
      </c>
      <c r="I95" s="26">
        <f>IFERROR('Cash Flow Data'!K31,0)</f>
        <v>-30</v>
      </c>
      <c r="J95" s="26">
        <f>IFERROR('Cash Flow Data'!L31,0)</f>
        <v>-100</v>
      </c>
      <c r="K95" s="26">
        <f>IFERROR('Cash Flow Data'!M31,0)</f>
        <v>-141</v>
      </c>
      <c r="L95" s="26">
        <f>IFERROR('Cash Flow Data'!N31,0)</f>
        <v>-1059</v>
      </c>
    </row>
    <row r="96" spans="2:22" s="26" customFormat="1" ht="29" x14ac:dyDescent="0.35">
      <c r="B96" s="26" t="s">
        <v>110</v>
      </c>
      <c r="C96" s="26">
        <f>IFERROR('Cash Flow Data'!E32,0)</f>
        <v>0</v>
      </c>
      <c r="D96" s="26">
        <f>IFERROR('Cash Flow Data'!F32,0)</f>
        <v>0</v>
      </c>
      <c r="E96" s="26">
        <f>IFERROR('Cash Flow Data'!G32,0)</f>
        <v>0</v>
      </c>
      <c r="F96" s="26">
        <f>IFERROR('Cash Flow Data'!H32,0)</f>
        <v>0</v>
      </c>
      <c r="G96" s="26">
        <f>IFERROR('Cash Flow Data'!I32,0)</f>
        <v>0</v>
      </c>
      <c r="H96" s="26">
        <f>IFERROR('Cash Flow Data'!J32,0)</f>
        <v>-1346</v>
      </c>
      <c r="I96" s="26">
        <f>IFERROR('Cash Flow Data'!K32,0)</f>
        <v>-1477</v>
      </c>
      <c r="J96" s="26">
        <f>IFERROR('Cash Flow Data'!L32,0)</f>
        <v>-1559</v>
      </c>
      <c r="K96" s="26">
        <f>IFERROR('Cash Flow Data'!M32,0)</f>
        <v>-1517</v>
      </c>
      <c r="L96" s="26">
        <f>IFERROR('Cash Flow Data'!N32,0)</f>
        <v>-1924</v>
      </c>
    </row>
    <row r="97" spans="2:12" s="26" customFormat="1" ht="29" x14ac:dyDescent="0.35">
      <c r="B97" s="26" t="s">
        <v>111</v>
      </c>
      <c r="C97" s="26">
        <f>IFERROR('Cash Flow Data'!E33,0)</f>
        <v>-57</v>
      </c>
      <c r="D97" s="26">
        <f>IFERROR('Cash Flow Data'!F33,0)</f>
        <v>0</v>
      </c>
      <c r="E97" s="26">
        <f>IFERROR('Cash Flow Data'!G33,0)</f>
        <v>0</v>
      </c>
      <c r="F97" s="26">
        <f>IFERROR('Cash Flow Data'!H33,0)</f>
        <v>0</v>
      </c>
      <c r="G97" s="26">
        <f>IFERROR('Cash Flow Data'!I33,0)</f>
        <v>0</v>
      </c>
      <c r="H97" s="26">
        <f>IFERROR('Cash Flow Data'!J33,0)</f>
        <v>-29</v>
      </c>
      <c r="I97" s="26">
        <f>IFERROR('Cash Flow Data'!K33,0)</f>
        <v>0</v>
      </c>
      <c r="J97" s="26">
        <f>IFERROR('Cash Flow Data'!L33,0)</f>
        <v>3750</v>
      </c>
      <c r="K97" s="26">
        <f>IFERROR('Cash Flow Data'!M33,0)</f>
        <v>3355</v>
      </c>
      <c r="L97" s="26">
        <f>IFERROR('Cash Flow Data'!N33,0)</f>
        <v>3812</v>
      </c>
    </row>
    <row r="98" spans="2:12" s="26" customFormat="1" x14ac:dyDescent="0.35">
      <c r="B98" s="26" t="s">
        <v>21</v>
      </c>
      <c r="C98" s="26">
        <f>IFERROR('Cash Flow Data'!E34,0)</f>
        <v>4500</v>
      </c>
      <c r="D98" s="26">
        <f>IFERROR('Cash Flow Data'!F34,0)</f>
        <v>-2589</v>
      </c>
      <c r="E98" s="26">
        <f>IFERROR('Cash Flow Data'!G34,0)</f>
        <v>-3167</v>
      </c>
      <c r="F98" s="26">
        <f>IFERROR('Cash Flow Data'!H34,0)</f>
        <v>730</v>
      </c>
      <c r="G98" s="26">
        <f>IFERROR('Cash Flow Data'!I34,0)</f>
        <v>6843</v>
      </c>
      <c r="H98" s="26">
        <f>IFERROR('Cash Flow Data'!J34,0)</f>
        <v>-3092</v>
      </c>
      <c r="I98" s="26">
        <f>IFERROR('Cash Flow Data'!K34,0)</f>
        <v>13232</v>
      </c>
      <c r="J98" s="26">
        <f>IFERROR('Cash Flow Data'!L34,0)</f>
        <v>6459</v>
      </c>
      <c r="K98" s="26">
        <f>IFERROR('Cash Flow Data'!M34,0)</f>
        <v>-6272</v>
      </c>
      <c r="L98" s="26">
        <f>IFERROR('Cash Flow Data'!N34,0)</f>
        <v>8128</v>
      </c>
    </row>
    <row r="99" spans="2:12" s="26" customFormat="1" x14ac:dyDescent="0.35"/>
  </sheetData>
  <mergeCells count="1">
    <mergeCell ref="B2:E2"/>
  </mergeCells>
  <pageMargins left="0.7" right="0.7" top="0.75" bottom="0.75" header="0.3" footer="0.3"/>
  <pageSetup orientation="portrait" r:id="rId1"/>
  <ignoredErrors>
    <ignoredError sqref="M5 C8:G8 H8:L8 A14:XFD1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680A-63B6-492C-A37F-95AF8949E0CC}">
  <sheetPr>
    <tabColor rgb="FF002060"/>
  </sheetPr>
  <dimension ref="B2:M41"/>
  <sheetViews>
    <sheetView showGridLines="0" topLeftCell="A3" workbookViewId="0">
      <selection activeCell="D9" sqref="D9"/>
    </sheetView>
  </sheetViews>
  <sheetFormatPr defaultRowHeight="14.5" x14ac:dyDescent="0.35"/>
  <cols>
    <col min="1" max="1" width="1.81640625" customWidth="1"/>
    <col min="2" max="2" width="25.26953125" customWidth="1"/>
  </cols>
  <sheetData>
    <row r="2" spans="2:13" x14ac:dyDescent="0.35">
      <c r="B2" s="76" t="str">
        <f>"Ratio Analysis - "&amp;'Data Sheet'!B1</f>
        <v>Ratio Analysis - TATA MOTORS LTD</v>
      </c>
      <c r="C2" s="76"/>
      <c r="D2" s="76"/>
      <c r="E2" s="76"/>
      <c r="F2" s="17"/>
      <c r="G2" s="17"/>
      <c r="H2" s="17"/>
      <c r="I2" s="17"/>
      <c r="J2" s="17"/>
      <c r="K2" s="17"/>
      <c r="L2" s="17"/>
      <c r="M2" s="8"/>
    </row>
    <row r="3" spans="2:13" x14ac:dyDescent="0.35">
      <c r="B3" s="17" t="s">
        <v>56</v>
      </c>
      <c r="C3" s="18">
        <f>'Data Sheet'!B16</f>
        <v>42094</v>
      </c>
      <c r="D3" s="18">
        <f>'Data Sheet'!C16</f>
        <v>42460</v>
      </c>
      <c r="E3" s="18">
        <f>'Data Sheet'!D16</f>
        <v>42825</v>
      </c>
      <c r="F3" s="18">
        <f>'Data Sheet'!E16</f>
        <v>43190</v>
      </c>
      <c r="G3" s="18">
        <f>'Data Sheet'!F16</f>
        <v>43555</v>
      </c>
      <c r="H3" s="18">
        <f>'Data Sheet'!G16</f>
        <v>43921</v>
      </c>
      <c r="I3" s="18">
        <f>'Data Sheet'!H16</f>
        <v>44286</v>
      </c>
      <c r="J3" s="18">
        <f>'Data Sheet'!I16</f>
        <v>44651</v>
      </c>
      <c r="K3" s="18">
        <f>'Data Sheet'!J16</f>
        <v>45016</v>
      </c>
      <c r="L3" s="18">
        <f>'Data Sheet'!K16</f>
        <v>45382</v>
      </c>
      <c r="M3" s="9"/>
    </row>
    <row r="5" spans="2:13" s="54" customFormat="1" x14ac:dyDescent="0.35">
      <c r="B5" s="54" t="s">
        <v>113</v>
      </c>
      <c r="C5" s="54" t="str">
        <f>IFERROR(HistoricalFS!C6,0)</f>
        <v>-</v>
      </c>
      <c r="D5" s="55">
        <f>IFERROR(HistoricalFS!D6,0)</f>
        <v>3.75690010654397E-2</v>
      </c>
      <c r="E5" s="55">
        <f>IFERROR(HistoricalFS!E6,0)</f>
        <v>-1.2280329732469508E-2</v>
      </c>
      <c r="F5" s="55">
        <f>IFERROR(HistoricalFS!F6,0)</f>
        <v>8.104774581985974E-2</v>
      </c>
      <c r="G5" s="55">
        <f>IFERROR(HistoricalFS!G6,0)</f>
        <v>3.5629919045237157E-2</v>
      </c>
      <c r="H5" s="55">
        <f>IFERROR(HistoricalFS!H6,0)</f>
        <v>-0.135360159555724</v>
      </c>
      <c r="I5" s="55">
        <f>IFERROR(HistoricalFS!I6,0)</f>
        <v>-4.3181168490336042E-2</v>
      </c>
      <c r="J5" s="55">
        <f>IFERROR(HistoricalFS!J6,0)</f>
        <v>0.11472967306158344</v>
      </c>
      <c r="K5" s="55">
        <f>IFERROR(HistoricalFS!K6,0)</f>
        <v>0.24245815155859707</v>
      </c>
      <c r="L5" s="55">
        <f>IFERROR(HistoricalFS!L6,0)</f>
        <v>0.26580803363974326</v>
      </c>
    </row>
    <row r="6" spans="2:13" s="55" customFormat="1" x14ac:dyDescent="0.35">
      <c r="B6" s="55" t="s">
        <v>115</v>
      </c>
      <c r="C6" s="55" t="s">
        <v>59</v>
      </c>
      <c r="D6" s="55">
        <f>IFERROR(HistoricalFS!D17/HistoricalFS!C17-1,0)</f>
        <v>-7.3531746142254661E-3</v>
      </c>
      <c r="E6" s="55">
        <f>IFERROR(HistoricalFS!E17/HistoricalFS!D17-1,0)</f>
        <v>-0.37749387980000104</v>
      </c>
      <c r="F6" s="55">
        <f>IFERROR(HistoricalFS!F17/HistoricalFS!E17-1,0)</f>
        <v>0.32549483364783183</v>
      </c>
      <c r="G6" s="55">
        <f>IFERROR(HistoricalFS!G17/HistoricalFS!F17-1,0)</f>
        <v>-9.1580729724491161E-2</v>
      </c>
      <c r="H6" s="55">
        <f>IFERROR(HistoricalFS!H17/HistoricalFS!G17-1,0)</f>
        <v>-0.24326090544775714</v>
      </c>
      <c r="I6" s="55">
        <f>IFERROR(HistoricalFS!I17/HistoricalFS!H17-1,0)</f>
        <v>0.8286237292427765</v>
      </c>
      <c r="J6" s="55">
        <f>IFERROR(HistoricalFS!J17/HistoricalFS!I17-1,0)</f>
        <v>-0.28835681668005064</v>
      </c>
      <c r="K6" s="55">
        <f>IFERROR(HistoricalFS!K17/HistoricalFS!J17-1,0)</f>
        <v>2.7502244344288718E-2</v>
      </c>
      <c r="L6" s="55">
        <f>IFERROR(HistoricalFS!L17/HistoricalFS!K17-1,0)</f>
        <v>1.1444264261020711</v>
      </c>
    </row>
    <row r="7" spans="2:13" s="55" customFormat="1" x14ac:dyDescent="0.35">
      <c r="B7" s="55" t="s">
        <v>141</v>
      </c>
      <c r="C7" s="55" t="s">
        <v>59</v>
      </c>
      <c r="D7" s="55">
        <f>IFERROR(HistoricalFS!D26/HistoricalFS!C26-1,0)</f>
        <v>-0.20465189504241099</v>
      </c>
      <c r="E7" s="55">
        <f>IFERROR(HistoricalFS!E26/HistoricalFS!D26-1,0)</f>
        <v>-0.99674104981344847</v>
      </c>
      <c r="F7" s="55">
        <f>IFERROR(HistoricalFS!F26/HistoricalFS!E26-1,0)</f>
        <v>68.384312868685214</v>
      </c>
      <c r="G7" s="55">
        <f>IFERROR(HistoricalFS!G26/HistoricalFS!F26-1,0)</f>
        <v>-1.828668774325185</v>
      </c>
      <c r="H7" s="55">
        <f>IFERROR(HistoricalFS!H26/HistoricalFS!G26-1,0)</f>
        <v>2.2111399062175003</v>
      </c>
      <c r="I7" s="55">
        <f>IFERROR(HistoricalFS!I26/HistoricalFS!H26-1,0)</f>
        <v>-1.6304609194722177</v>
      </c>
      <c r="J7" s="55">
        <f>IFERROR(HistoricalFS!J26/HistoricalFS!I26-1,0)</f>
        <v>-2.470982842534597</v>
      </c>
      <c r="K7" s="55">
        <f>IFERROR(HistoricalFS!K26/HistoricalFS!J26-1,0)</f>
        <v>2.7394515992792412E-2</v>
      </c>
      <c r="L7" s="55">
        <f>IFERROR(HistoricalFS!L26/HistoricalFS!K26-1,0)</f>
        <v>-3.5729998534463614</v>
      </c>
    </row>
    <row r="8" spans="2:13" s="55" customFormat="1" x14ac:dyDescent="0.35">
      <c r="B8" s="55" t="s">
        <v>114</v>
      </c>
      <c r="C8" s="55" t="s">
        <v>59</v>
      </c>
      <c r="D8" s="55">
        <f>IFERROR(HistoricalFS!D32/HistoricalFS!C32-1,0)</f>
        <v>0.10025491075128357</v>
      </c>
      <c r="E8" s="55">
        <f>IFERROR(HistoricalFS!E32/HistoricalFS!D32-1,0)</f>
        <v>-1.2908937460013523</v>
      </c>
      <c r="F8" s="55">
        <f>IFERROR(HistoricalFS!F32/HistoricalFS!E32-1,0)</f>
        <v>-0.6361801426316358</v>
      </c>
      <c r="G8" s="55">
        <f>IFERROR(HistoricalFS!G32/HistoricalFS!F32-1,0)</f>
        <v>-0.83350339990226319</v>
      </c>
      <c r="H8" s="55">
        <f>IFERROR(HistoricalFS!H32/HistoricalFS!G32-1,0)</f>
        <v>44.556728639856331</v>
      </c>
      <c r="I8" s="55">
        <f>IFERROR(HistoricalFS!I32/HistoricalFS!H32-1,0)</f>
        <v>-1.3149365514512605</v>
      </c>
      <c r="J8" s="55">
        <f>IFERROR(HistoricalFS!J32/HistoricalFS!I32-1,0)</f>
        <v>-5.3319848520200308</v>
      </c>
      <c r="K8" s="55">
        <f>IFERROR(HistoricalFS!K32/HistoricalFS!J32-1,0)</f>
        <v>-0.27448364552967597</v>
      </c>
      <c r="L8" s="55">
        <f>IFERROR(HistoricalFS!L32/HistoricalFS!K32-1,0)</f>
        <v>-3.806001105562983</v>
      </c>
    </row>
    <row r="9" spans="2:13" x14ac:dyDescent="0.35">
      <c r="B9" t="s">
        <v>116</v>
      </c>
      <c r="C9" s="55" t="s">
        <v>59</v>
      </c>
    </row>
    <row r="11" spans="2:13" x14ac:dyDescent="0.35">
      <c r="B11" t="s">
        <v>70</v>
      </c>
    </row>
    <row r="12" spans="2:13" x14ac:dyDescent="0.35">
      <c r="B12" t="s">
        <v>117</v>
      </c>
    </row>
    <row r="13" spans="2:13" x14ac:dyDescent="0.35">
      <c r="B13" t="s">
        <v>67</v>
      </c>
    </row>
    <row r="14" spans="2:13" x14ac:dyDescent="0.35">
      <c r="B14" t="s">
        <v>118</v>
      </c>
    </row>
    <row r="15" spans="2:13" x14ac:dyDescent="0.35">
      <c r="B15" t="s">
        <v>119</v>
      </c>
    </row>
    <row r="16" spans="2:13" x14ac:dyDescent="0.35">
      <c r="B16" t="s">
        <v>120</v>
      </c>
    </row>
    <row r="18" spans="2:2" x14ac:dyDescent="0.35">
      <c r="B18" t="s">
        <v>121</v>
      </c>
    </row>
    <row r="19" spans="2:2" x14ac:dyDescent="0.35">
      <c r="B19" t="s">
        <v>122</v>
      </c>
    </row>
    <row r="20" spans="2:2" x14ac:dyDescent="0.35">
      <c r="B20" t="s">
        <v>123</v>
      </c>
    </row>
    <row r="22" spans="2:2" x14ac:dyDescent="0.35">
      <c r="B22" t="s">
        <v>124</v>
      </c>
    </row>
    <row r="23" spans="2:2" x14ac:dyDescent="0.35">
      <c r="B23" t="s">
        <v>125</v>
      </c>
    </row>
    <row r="24" spans="2:2" x14ac:dyDescent="0.35">
      <c r="B24" t="s">
        <v>126</v>
      </c>
    </row>
    <row r="25" spans="2:2" x14ac:dyDescent="0.35">
      <c r="B25" t="s">
        <v>127</v>
      </c>
    </row>
    <row r="26" spans="2:2" x14ac:dyDescent="0.35">
      <c r="B26" t="s">
        <v>128</v>
      </c>
    </row>
    <row r="28" spans="2:2" x14ac:dyDescent="0.35">
      <c r="B28" t="s">
        <v>129</v>
      </c>
    </row>
    <row r="29" spans="2:2" x14ac:dyDescent="0.35">
      <c r="B29" t="s">
        <v>130</v>
      </c>
    </row>
    <row r="30" spans="2:2" x14ac:dyDescent="0.35">
      <c r="B30" t="s">
        <v>131</v>
      </c>
    </row>
    <row r="31" spans="2:2" x14ac:dyDescent="0.35">
      <c r="B31" t="s">
        <v>132</v>
      </c>
    </row>
    <row r="32" spans="2:2" x14ac:dyDescent="0.35">
      <c r="B32" t="s">
        <v>133</v>
      </c>
    </row>
    <row r="34" spans="2:2" x14ac:dyDescent="0.35">
      <c r="B34" t="s">
        <v>134</v>
      </c>
    </row>
    <row r="35" spans="2:2" x14ac:dyDescent="0.35">
      <c r="B35" t="s">
        <v>135</v>
      </c>
    </row>
    <row r="36" spans="2:2" x14ac:dyDescent="0.35">
      <c r="B36" t="s">
        <v>136</v>
      </c>
    </row>
    <row r="37" spans="2:2" x14ac:dyDescent="0.35">
      <c r="B37" t="s">
        <v>137</v>
      </c>
    </row>
    <row r="39" spans="2:2" x14ac:dyDescent="0.35">
      <c r="B39" t="s">
        <v>138</v>
      </c>
    </row>
    <row r="40" spans="2:2" x14ac:dyDescent="0.35">
      <c r="B40" t="s">
        <v>139</v>
      </c>
    </row>
    <row r="41" spans="2:2" x14ac:dyDescent="0.35">
      <c r="B41" t="s">
        <v>140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7C27-C9EC-4387-9B38-9023616C254B}">
  <sheetPr>
    <tabColor rgb="FF002060"/>
  </sheetPr>
  <dimension ref="B1:N38"/>
  <sheetViews>
    <sheetView showGridLines="0" topLeftCell="A19" workbookViewId="0">
      <selection activeCell="G15" sqref="G15"/>
    </sheetView>
  </sheetViews>
  <sheetFormatPr defaultRowHeight="14.5" x14ac:dyDescent="0.35"/>
  <cols>
    <col min="1" max="1" width="1.81640625" customWidth="1"/>
    <col min="2" max="2" width="10.1796875" customWidth="1"/>
    <col min="3" max="3" width="6.7265625" bestFit="1" customWidth="1"/>
    <col min="4" max="4" width="11.81640625" customWidth="1"/>
    <col min="5" max="5" width="13.36328125" customWidth="1"/>
    <col min="6" max="12" width="9.36328125" bestFit="1" customWidth="1"/>
  </cols>
  <sheetData>
    <row r="1" spans="2:12" x14ac:dyDescent="0.35">
      <c r="B1" t="str">
        <f>'Data Sheet'!B1&amp;" - " &amp;'Data Sheet'!A17</f>
        <v>TATA MOTORS LTD - Sales</v>
      </c>
    </row>
    <row r="2" spans="2:12" x14ac:dyDescent="0.35">
      <c r="B2" s="58" t="s">
        <v>143</v>
      </c>
      <c r="C2" s="61" t="s">
        <v>142</v>
      </c>
      <c r="D2" s="59" t="s">
        <v>1</v>
      </c>
      <c r="E2" s="59" t="s">
        <v>10</v>
      </c>
      <c r="F2" s="38"/>
      <c r="G2" s="38"/>
      <c r="H2" s="38"/>
      <c r="I2" s="38"/>
      <c r="J2" s="38"/>
      <c r="K2" s="38"/>
      <c r="L2" s="38"/>
    </row>
    <row r="3" spans="2:12" s="56" customFormat="1" x14ac:dyDescent="0.35">
      <c r="B3" s="57">
        <v>1</v>
      </c>
      <c r="C3" s="64">
        <v>2015</v>
      </c>
      <c r="D3" s="60">
        <v>263159</v>
      </c>
      <c r="E3" s="56" t="s">
        <v>59</v>
      </c>
    </row>
    <row r="4" spans="2:12" x14ac:dyDescent="0.35">
      <c r="B4" s="57">
        <f>B3+1</f>
        <v>2</v>
      </c>
      <c r="C4" s="64">
        <f>C3+1</f>
        <v>2016</v>
      </c>
      <c r="D4" s="60">
        <v>273046</v>
      </c>
      <c r="E4" s="62">
        <f>D4/D3-1</f>
        <v>3.757044220414274E-2</v>
      </c>
    </row>
    <row r="5" spans="2:12" x14ac:dyDescent="0.35">
      <c r="B5" s="57">
        <f t="shared" ref="B5:B17" si="0">B4+1</f>
        <v>3</v>
      </c>
      <c r="C5" s="64">
        <f t="shared" ref="C5:C17" si="1">C4+1</f>
        <v>2017</v>
      </c>
      <c r="D5" s="60">
        <v>269693</v>
      </c>
      <c r="E5" s="62">
        <f t="shared" ref="E5:E17" si="2">D5/D4-1</f>
        <v>-1.2279982127553546E-2</v>
      </c>
    </row>
    <row r="6" spans="2:12" x14ac:dyDescent="0.35">
      <c r="B6" s="57">
        <f t="shared" si="0"/>
        <v>4</v>
      </c>
      <c r="C6" s="64">
        <f t="shared" si="1"/>
        <v>2018</v>
      </c>
      <c r="D6" s="60">
        <v>291550</v>
      </c>
      <c r="E6" s="62">
        <f t="shared" si="2"/>
        <v>8.1044001883623151E-2</v>
      </c>
    </row>
    <row r="7" spans="2:12" x14ac:dyDescent="0.35">
      <c r="B7" s="57">
        <f t="shared" si="0"/>
        <v>5</v>
      </c>
      <c r="C7" s="64">
        <f t="shared" si="1"/>
        <v>2019</v>
      </c>
      <c r="D7" s="60">
        <v>301938</v>
      </c>
      <c r="E7" s="62">
        <f t="shared" si="2"/>
        <v>3.5630252100840254E-2</v>
      </c>
    </row>
    <row r="8" spans="2:12" x14ac:dyDescent="0.35">
      <c r="B8" s="57">
        <f t="shared" si="0"/>
        <v>6</v>
      </c>
      <c r="C8" s="64">
        <f t="shared" si="1"/>
        <v>2020</v>
      </c>
      <c r="D8" s="60">
        <v>261068</v>
      </c>
      <c r="E8" s="62">
        <f t="shared" si="2"/>
        <v>-0.13535891474408657</v>
      </c>
    </row>
    <row r="9" spans="2:12" x14ac:dyDescent="0.35">
      <c r="B9" s="57">
        <f t="shared" si="0"/>
        <v>7</v>
      </c>
      <c r="C9" s="64">
        <f t="shared" si="1"/>
        <v>2021</v>
      </c>
      <c r="D9" s="60">
        <v>249795</v>
      </c>
      <c r="E9" s="62">
        <f t="shared" si="2"/>
        <v>-4.3180320835950803E-2</v>
      </c>
    </row>
    <row r="10" spans="2:12" x14ac:dyDescent="0.35">
      <c r="B10" s="57">
        <f t="shared" si="0"/>
        <v>8</v>
      </c>
      <c r="C10" s="64">
        <f t="shared" si="1"/>
        <v>2022</v>
      </c>
      <c r="D10" s="60">
        <v>278454</v>
      </c>
      <c r="E10" s="62">
        <f t="shared" si="2"/>
        <v>0.11473007866450491</v>
      </c>
    </row>
    <row r="11" spans="2:12" x14ac:dyDescent="0.35">
      <c r="B11" s="57">
        <f t="shared" si="0"/>
        <v>9</v>
      </c>
      <c r="C11" s="64">
        <f t="shared" si="1"/>
        <v>2023</v>
      </c>
      <c r="D11" s="60">
        <v>345967</v>
      </c>
      <c r="E11" s="62">
        <f t="shared" si="2"/>
        <v>0.24245656374122837</v>
      </c>
    </row>
    <row r="12" spans="2:12" x14ac:dyDescent="0.35">
      <c r="B12" s="57">
        <f t="shared" si="0"/>
        <v>10</v>
      </c>
      <c r="C12" s="64">
        <f t="shared" si="1"/>
        <v>2024</v>
      </c>
      <c r="D12" s="60">
        <v>437928</v>
      </c>
      <c r="E12" s="62">
        <f t="shared" si="2"/>
        <v>0.26580858868042334</v>
      </c>
    </row>
    <row r="13" spans="2:12" x14ac:dyDescent="0.35">
      <c r="B13" s="57">
        <f t="shared" si="0"/>
        <v>11</v>
      </c>
      <c r="C13" s="65">
        <f t="shared" si="1"/>
        <v>2025</v>
      </c>
      <c r="D13" s="69">
        <f>$G$37+(B13*$G$38)</f>
        <v>362627.73333333334</v>
      </c>
      <c r="E13" s="62">
        <f t="shared" si="2"/>
        <v>-0.17194668225522614</v>
      </c>
    </row>
    <row r="14" spans="2:12" x14ac:dyDescent="0.35">
      <c r="B14" s="57">
        <f t="shared" si="0"/>
        <v>12</v>
      </c>
      <c r="C14" s="65">
        <f t="shared" si="1"/>
        <v>2026</v>
      </c>
      <c r="D14" s="69">
        <f>$G$37+(B14*$G$38)</f>
        <v>374512.81212121213</v>
      </c>
      <c r="E14" s="62">
        <f t="shared" si="2"/>
        <v>3.2774875431145878E-2</v>
      </c>
    </row>
    <row r="15" spans="2:12" x14ac:dyDescent="0.35">
      <c r="B15" s="57">
        <f t="shared" si="0"/>
        <v>13</v>
      </c>
      <c r="C15" s="65">
        <f t="shared" si="1"/>
        <v>2027</v>
      </c>
      <c r="D15" s="69">
        <f>$G$37+(B15*$G$38)</f>
        <v>386397.89090909087</v>
      </c>
      <c r="E15" s="62">
        <f t="shared" si="2"/>
        <v>3.1734772224647045E-2</v>
      </c>
    </row>
    <row r="16" spans="2:12" x14ac:dyDescent="0.35">
      <c r="B16" s="57">
        <f t="shared" si="0"/>
        <v>14</v>
      </c>
      <c r="C16" s="65">
        <f t="shared" si="1"/>
        <v>2028</v>
      </c>
      <c r="D16" s="69">
        <f>$G$37+(B16*$G$38)</f>
        <v>398282.96969696973</v>
      </c>
      <c r="E16" s="62">
        <f t="shared" si="2"/>
        <v>3.0758653366136146E-2</v>
      </c>
    </row>
    <row r="17" spans="2:11" x14ac:dyDescent="0.35">
      <c r="B17" s="57">
        <f t="shared" si="0"/>
        <v>15</v>
      </c>
      <c r="C17" s="65">
        <f t="shared" si="1"/>
        <v>2029</v>
      </c>
      <c r="D17" s="69">
        <f>$G$37+(B17*$G$38)</f>
        <v>410168.04848484846</v>
      </c>
      <c r="E17" s="62">
        <f t="shared" si="2"/>
        <v>2.9840790824979146E-2</v>
      </c>
    </row>
    <row r="21" spans="2:11" x14ac:dyDescent="0.35">
      <c r="B21" t="s">
        <v>144</v>
      </c>
      <c r="D21" s="63">
        <f>AVERAGE(E4:E12)</f>
        <v>6.515785661857465E-2</v>
      </c>
      <c r="F21" t="s">
        <v>147</v>
      </c>
    </row>
    <row r="22" spans="2:11" ht="15" thickBot="1" x14ac:dyDescent="0.4">
      <c r="B22" t="s">
        <v>145</v>
      </c>
      <c r="D22" s="63">
        <f>_xlfn.RRI(B12,D3,D12)</f>
        <v>5.2248822993366195E-2</v>
      </c>
    </row>
    <row r="23" spans="2:11" x14ac:dyDescent="0.35">
      <c r="F23" s="68" t="s">
        <v>148</v>
      </c>
      <c r="G23" s="68"/>
    </row>
    <row r="24" spans="2:11" x14ac:dyDescent="0.35">
      <c r="B24" t="s">
        <v>146</v>
      </c>
      <c r="D24" s="63">
        <f>_xlfn.STDEV.S(E4:E12)</f>
        <v>0.12941166034135423</v>
      </c>
      <c r="F24" t="s">
        <v>149</v>
      </c>
      <c r="G24">
        <v>0.63788594396425469</v>
      </c>
    </row>
    <row r="25" spans="2:11" x14ac:dyDescent="0.35">
      <c r="F25" t="s">
        <v>150</v>
      </c>
      <c r="G25">
        <v>0.40689847750716823</v>
      </c>
    </row>
    <row r="26" spans="2:11" x14ac:dyDescent="0.35">
      <c r="F26" t="s">
        <v>151</v>
      </c>
      <c r="G26">
        <v>0.33276078719556423</v>
      </c>
    </row>
    <row r="27" spans="2:11" x14ac:dyDescent="0.35">
      <c r="F27" t="s">
        <v>152</v>
      </c>
      <c r="G27">
        <v>46079.263909577428</v>
      </c>
    </row>
    <row r="28" spans="2:11" ht="15" thickBot="1" x14ac:dyDescent="0.4">
      <c r="F28" s="66" t="s">
        <v>153</v>
      </c>
      <c r="G28" s="66">
        <v>10</v>
      </c>
    </row>
    <row r="30" spans="2:11" ht="15" thickBot="1" x14ac:dyDescent="0.4">
      <c r="F30" t="s">
        <v>154</v>
      </c>
    </row>
    <row r="31" spans="2:11" x14ac:dyDescent="0.35">
      <c r="F31" s="67"/>
      <c r="G31" s="67" t="s">
        <v>158</v>
      </c>
      <c r="H31" s="67" t="s">
        <v>159</v>
      </c>
      <c r="I31" s="67" t="s">
        <v>160</v>
      </c>
      <c r="J31" s="67" t="s">
        <v>161</v>
      </c>
      <c r="K31" s="67" t="s">
        <v>162</v>
      </c>
    </row>
    <row r="32" spans="2:11" x14ac:dyDescent="0.35">
      <c r="F32" t="s">
        <v>155</v>
      </c>
      <c r="G32">
        <v>1</v>
      </c>
      <c r="H32">
        <v>11653545568.012119</v>
      </c>
      <c r="I32">
        <v>11653545568.012119</v>
      </c>
      <c r="J32">
        <v>5.4884158893668804</v>
      </c>
      <c r="K32">
        <v>4.7213544422517122E-2</v>
      </c>
    </row>
    <row r="33" spans="6:14" x14ac:dyDescent="0.35">
      <c r="F33" t="s">
        <v>156</v>
      </c>
      <c r="G33">
        <v>8</v>
      </c>
      <c r="H33">
        <v>16986388499.587879</v>
      </c>
      <c r="I33">
        <v>2123298562.4484849</v>
      </c>
    </row>
    <row r="34" spans="6:14" ht="15" thickBot="1" x14ac:dyDescent="0.4">
      <c r="F34" s="66" t="s">
        <v>13</v>
      </c>
      <c r="G34" s="66">
        <v>9</v>
      </c>
      <c r="H34" s="66">
        <v>28639934067.599998</v>
      </c>
      <c r="I34" s="66"/>
      <c r="J34" s="66"/>
      <c r="K34" s="66"/>
    </row>
    <row r="35" spans="6:14" ht="15" thickBot="1" x14ac:dyDescent="0.4"/>
    <row r="36" spans="6:14" x14ac:dyDescent="0.35">
      <c r="F36" s="67"/>
      <c r="G36" s="67" t="s">
        <v>163</v>
      </c>
      <c r="H36" s="67" t="s">
        <v>152</v>
      </c>
      <c r="I36" s="67" t="s">
        <v>164</v>
      </c>
      <c r="J36" s="67" t="s">
        <v>165</v>
      </c>
      <c r="K36" s="67" t="s">
        <v>166</v>
      </c>
      <c r="L36" s="67" t="s">
        <v>167</v>
      </c>
      <c r="M36" s="67" t="s">
        <v>168</v>
      </c>
      <c r="N36" s="67" t="s">
        <v>169</v>
      </c>
    </row>
    <row r="37" spans="6:14" x14ac:dyDescent="0.35">
      <c r="F37" t="s">
        <v>157</v>
      </c>
      <c r="G37">
        <v>231891.86666666667</v>
      </c>
      <c r="H37">
        <v>31478.129907539929</v>
      </c>
      <c r="I37">
        <v>7.3667612195450598</v>
      </c>
      <c r="J37">
        <v>7.8661724087828133E-5</v>
      </c>
      <c r="K37">
        <v>159303.16893138562</v>
      </c>
      <c r="L37">
        <v>304480.56440194772</v>
      </c>
      <c r="M37">
        <v>159303.16893138562</v>
      </c>
      <c r="N37">
        <v>304480.56440194772</v>
      </c>
    </row>
    <row r="38" spans="6:14" ht="15" thickBot="1" x14ac:dyDescent="0.4">
      <c r="F38" s="66" t="s">
        <v>143</v>
      </c>
      <c r="G38" s="66">
        <v>11885.078787878787</v>
      </c>
      <c r="H38" s="66">
        <v>5073.159988813959</v>
      </c>
      <c r="I38" s="66">
        <v>2.3427368374119362</v>
      </c>
      <c r="J38" s="66">
        <v>4.7213544422517122E-2</v>
      </c>
      <c r="K38" s="66">
        <v>186.35087512147038</v>
      </c>
      <c r="L38" s="66">
        <v>23583.806700636102</v>
      </c>
      <c r="M38" s="66">
        <v>186.35087512147038</v>
      </c>
      <c r="N38" s="66">
        <v>23583.806700636102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F1C4-26B8-443A-B939-FA63DE30BB5F}">
  <sheetPr>
    <tabColor rgb="FF002060"/>
  </sheetPr>
  <dimension ref="B2:K51"/>
  <sheetViews>
    <sheetView showGridLines="0" topLeftCell="A42" workbookViewId="0">
      <selection activeCell="F19" sqref="F19"/>
    </sheetView>
  </sheetViews>
  <sheetFormatPr defaultRowHeight="14.5" x14ac:dyDescent="0.35"/>
  <cols>
    <col min="1" max="1" width="1.81640625" customWidth="1"/>
    <col min="2" max="2" width="36.36328125" customWidth="1"/>
    <col min="3" max="3" width="7.453125" bestFit="1" customWidth="1"/>
    <col min="4" max="4" width="9.453125" bestFit="1" customWidth="1"/>
    <col min="5" max="5" width="10.6328125" bestFit="1" customWidth="1"/>
    <col min="6" max="6" width="13.1796875" customWidth="1"/>
  </cols>
  <sheetData>
    <row r="2" spans="2:10" ht="18.5" x14ac:dyDescent="0.45">
      <c r="B2" s="70" t="s">
        <v>170</v>
      </c>
    </row>
    <row r="3" spans="2:10" x14ac:dyDescent="0.35">
      <c r="B3" s="71"/>
    </row>
    <row r="6" spans="2:10" x14ac:dyDescent="0.35">
      <c r="B6" s="72"/>
      <c r="C6" s="72"/>
      <c r="D6" s="72"/>
      <c r="E6" s="72"/>
      <c r="F6" s="72"/>
      <c r="G6" s="72"/>
      <c r="H6" s="72"/>
      <c r="I6" s="72"/>
      <c r="J6" s="72"/>
    </row>
    <row r="7" spans="2:10" x14ac:dyDescent="0.35">
      <c r="B7" s="73"/>
      <c r="C7" s="73"/>
      <c r="D7" s="73"/>
      <c r="E7" s="73"/>
      <c r="F7" s="73"/>
      <c r="G7" s="73"/>
      <c r="H7" s="73"/>
      <c r="I7" s="73"/>
      <c r="J7" s="73"/>
    </row>
    <row r="13" spans="2:10" x14ac:dyDescent="0.35">
      <c r="C13" t="s">
        <v>170</v>
      </c>
    </row>
    <row r="15" spans="2:10" x14ac:dyDescent="0.35">
      <c r="C15" t="s">
        <v>181</v>
      </c>
    </row>
    <row r="17" spans="3:11" x14ac:dyDescent="0.35">
      <c r="C17" t="s">
        <v>171</v>
      </c>
    </row>
    <row r="18" spans="3:11" x14ac:dyDescent="0.35">
      <c r="H18" t="s">
        <v>176</v>
      </c>
      <c r="I18" t="s">
        <v>176</v>
      </c>
      <c r="J18" t="s">
        <v>179</v>
      </c>
      <c r="K18" t="s">
        <v>180</v>
      </c>
    </row>
    <row r="19" spans="3:11" x14ac:dyDescent="0.35">
      <c r="C19" t="s">
        <v>172</v>
      </c>
      <c r="D19" t="s">
        <v>173</v>
      </c>
      <c r="E19" t="s">
        <v>174</v>
      </c>
      <c r="F19" t="s">
        <v>175</v>
      </c>
      <c r="G19" t="s">
        <v>182</v>
      </c>
      <c r="H19" t="s">
        <v>177</v>
      </c>
      <c r="I19" t="s">
        <v>178</v>
      </c>
      <c r="J19" t="s">
        <v>183</v>
      </c>
      <c r="K19" t="s">
        <v>184</v>
      </c>
    </row>
    <row r="21" spans="3:11" x14ac:dyDescent="0.35">
      <c r="C21" t="s">
        <v>185</v>
      </c>
      <c r="D21" t="s">
        <v>186</v>
      </c>
      <c r="E21" s="12">
        <v>1139</v>
      </c>
      <c r="F21" s="12">
        <v>611503.9</v>
      </c>
      <c r="G21" s="63">
        <v>0.3</v>
      </c>
      <c r="H21" s="63">
        <v>1.9E-3</v>
      </c>
      <c r="I21" s="63">
        <v>1.9E-3</v>
      </c>
      <c r="J21">
        <v>1</v>
      </c>
      <c r="K21">
        <v>1</v>
      </c>
    </row>
    <row r="22" spans="3:11" x14ac:dyDescent="0.35">
      <c r="C22" t="s">
        <v>187</v>
      </c>
      <c r="D22" t="s">
        <v>186</v>
      </c>
      <c r="E22">
        <v>279.89999999999998</v>
      </c>
      <c r="F22" s="12">
        <v>182975</v>
      </c>
      <c r="G22" s="63">
        <v>0.3</v>
      </c>
      <c r="H22" s="63">
        <v>1.5E-3</v>
      </c>
      <c r="I22" s="63">
        <v>1.5E-3</v>
      </c>
      <c r="J22">
        <v>1</v>
      </c>
      <c r="K22">
        <v>1</v>
      </c>
    </row>
    <row r="23" spans="3:11" x14ac:dyDescent="0.35">
      <c r="C23" t="s">
        <v>188</v>
      </c>
      <c r="D23" t="s">
        <v>186</v>
      </c>
      <c r="E23" s="12">
        <v>3037.7</v>
      </c>
      <c r="F23" s="12">
        <v>110690</v>
      </c>
      <c r="G23" s="63">
        <v>0.3</v>
      </c>
      <c r="H23" s="63">
        <v>2.7400000000000001E-2</v>
      </c>
      <c r="I23" s="63">
        <v>2.6700000000000002E-2</v>
      </c>
      <c r="J23">
        <v>1</v>
      </c>
      <c r="K23">
        <v>0.98</v>
      </c>
    </row>
    <row r="24" spans="3:11" x14ac:dyDescent="0.35">
      <c r="C24" t="s">
        <v>189</v>
      </c>
      <c r="D24" t="s">
        <v>186</v>
      </c>
      <c r="E24" s="12">
        <v>1164.5</v>
      </c>
      <c r="F24" s="12">
        <v>96256.4</v>
      </c>
      <c r="G24" s="63">
        <v>0.3</v>
      </c>
      <c r="H24" s="63">
        <v>1.21E-2</v>
      </c>
      <c r="I24" s="63">
        <v>1.2E-2</v>
      </c>
      <c r="J24">
        <v>1</v>
      </c>
      <c r="K24">
        <v>0.99</v>
      </c>
    </row>
    <row r="25" spans="3:11" x14ac:dyDescent="0.35">
      <c r="C25" t="s">
        <v>190</v>
      </c>
      <c r="D25" t="s">
        <v>186</v>
      </c>
      <c r="E25" s="12">
        <v>1068.0999999999999</v>
      </c>
      <c r="F25" s="12">
        <v>94940.4</v>
      </c>
      <c r="G25" s="63">
        <v>0.3</v>
      </c>
      <c r="H25" s="63">
        <v>1.1299999999999999E-2</v>
      </c>
      <c r="I25" s="63">
        <v>1.11E-2</v>
      </c>
      <c r="J25">
        <v>1</v>
      </c>
      <c r="K25">
        <v>0.99</v>
      </c>
    </row>
    <row r="27" spans="3:11" x14ac:dyDescent="0.35">
      <c r="F27" t="s">
        <v>191</v>
      </c>
      <c r="G27" s="63">
        <v>0.3</v>
      </c>
      <c r="H27" s="63">
        <v>1.0800000000000001E-2</v>
      </c>
      <c r="I27" s="63">
        <v>1.06E-2</v>
      </c>
      <c r="J27">
        <v>1</v>
      </c>
      <c r="K27">
        <v>0.99</v>
      </c>
    </row>
    <row r="28" spans="3:11" x14ac:dyDescent="0.35">
      <c r="F28" t="s">
        <v>192</v>
      </c>
      <c r="G28" s="63">
        <v>0.3</v>
      </c>
      <c r="H28" s="63">
        <v>1.1299999999999999E-2</v>
      </c>
      <c r="I28" s="63">
        <v>1.11E-2</v>
      </c>
      <c r="J28">
        <v>1</v>
      </c>
      <c r="K28">
        <v>0.99</v>
      </c>
    </row>
    <row r="31" spans="3:11" x14ac:dyDescent="0.35">
      <c r="C31" t="s">
        <v>193</v>
      </c>
      <c r="H31" t="s">
        <v>194</v>
      </c>
    </row>
    <row r="33" spans="3:11" x14ac:dyDescent="0.35">
      <c r="C33" t="s">
        <v>195</v>
      </c>
      <c r="F33" s="63">
        <v>8.4000000000000005E-2</v>
      </c>
      <c r="H33" t="s">
        <v>196</v>
      </c>
      <c r="K33" s="63">
        <v>6.5000000000000002E-2</v>
      </c>
    </row>
    <row r="34" spans="3:11" x14ac:dyDescent="0.35">
      <c r="C34" t="s">
        <v>197</v>
      </c>
      <c r="F34" s="63">
        <v>0.3</v>
      </c>
      <c r="H34" t="s">
        <v>198</v>
      </c>
      <c r="K34" s="63">
        <v>0.08</v>
      </c>
    </row>
    <row r="35" spans="3:11" x14ac:dyDescent="0.35">
      <c r="C35" t="s">
        <v>199</v>
      </c>
      <c r="F35" s="63">
        <v>5.8799999999999998E-2</v>
      </c>
      <c r="H35" t="s">
        <v>200</v>
      </c>
      <c r="K35">
        <v>1.51</v>
      </c>
    </row>
    <row r="36" spans="3:11" x14ac:dyDescent="0.35">
      <c r="H36" t="s">
        <v>194</v>
      </c>
      <c r="K36" s="63">
        <v>0.18540000000000001</v>
      </c>
    </row>
    <row r="39" spans="3:11" x14ac:dyDescent="0.35">
      <c r="C39" t="s">
        <v>201</v>
      </c>
      <c r="H39" t="s">
        <v>202</v>
      </c>
    </row>
    <row r="41" spans="3:11" x14ac:dyDescent="0.35">
      <c r="E41" t="s">
        <v>203</v>
      </c>
      <c r="F41" t="s">
        <v>204</v>
      </c>
      <c r="H41" t="s">
        <v>205</v>
      </c>
      <c r="K41">
        <v>0.99</v>
      </c>
    </row>
    <row r="42" spans="3:11" x14ac:dyDescent="0.35">
      <c r="C42" t="s">
        <v>174</v>
      </c>
      <c r="D42" s="12">
        <v>17440</v>
      </c>
      <c r="E42" s="63">
        <v>0.35089999999999999</v>
      </c>
      <c r="F42" s="63">
        <v>0.42499999999999999</v>
      </c>
      <c r="H42" t="s">
        <v>206</v>
      </c>
      <c r="K42" s="63">
        <v>0.73909999999999998</v>
      </c>
    </row>
    <row r="43" spans="3:11" x14ac:dyDescent="0.35">
      <c r="C43" t="s">
        <v>45</v>
      </c>
      <c r="D43" s="12">
        <v>32265</v>
      </c>
      <c r="E43" s="63">
        <v>0.64910000000000001</v>
      </c>
      <c r="F43" s="63">
        <v>0.57499999999999996</v>
      </c>
      <c r="H43" t="s">
        <v>197</v>
      </c>
      <c r="K43" s="63">
        <v>0.3</v>
      </c>
    </row>
    <row r="44" spans="3:11" x14ac:dyDescent="0.35">
      <c r="C44" t="s">
        <v>207</v>
      </c>
      <c r="D44" s="12">
        <v>49705</v>
      </c>
      <c r="E44" s="63">
        <v>1</v>
      </c>
      <c r="F44" s="63">
        <v>1</v>
      </c>
      <c r="H44" t="s">
        <v>208</v>
      </c>
      <c r="K44">
        <v>1.51</v>
      </c>
    </row>
    <row r="46" spans="3:11" x14ac:dyDescent="0.35">
      <c r="C46" t="s">
        <v>209</v>
      </c>
      <c r="E46" s="63">
        <v>0.54049999999999998</v>
      </c>
      <c r="F46" s="63">
        <v>0.73909999999999998</v>
      </c>
      <c r="H46" t="s">
        <v>170</v>
      </c>
    </row>
    <row r="48" spans="3:11" x14ac:dyDescent="0.35">
      <c r="C48" t="s">
        <v>210</v>
      </c>
      <c r="J48" t="s">
        <v>211</v>
      </c>
      <c r="K48" t="s">
        <v>212</v>
      </c>
    </row>
    <row r="49" spans="2:11" x14ac:dyDescent="0.35">
      <c r="C49" t="s">
        <v>213</v>
      </c>
      <c r="H49" t="s">
        <v>214</v>
      </c>
      <c r="J49" s="63">
        <v>5.8799999999999998E-2</v>
      </c>
      <c r="K49" s="63">
        <v>0.42499999999999999</v>
      </c>
    </row>
    <row r="50" spans="2:11" x14ac:dyDescent="0.35">
      <c r="B50" t="s">
        <v>215</v>
      </c>
      <c r="C50" t="s">
        <v>216</v>
      </c>
      <c r="H50" t="s">
        <v>217</v>
      </c>
      <c r="J50" s="63">
        <v>0.18540000000000001</v>
      </c>
      <c r="K50" s="63">
        <v>0.57499999999999996</v>
      </c>
    </row>
    <row r="51" spans="2:11" x14ac:dyDescent="0.35">
      <c r="C51" t="s">
        <v>218</v>
      </c>
      <c r="H51" t="s">
        <v>170</v>
      </c>
      <c r="K51" s="63">
        <v>0.13159999999999999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DCE1-63B5-4273-B6D7-7A5BFE0ED134}">
  <sheetPr>
    <tabColor rgb="FF002060"/>
  </sheetPr>
  <dimension ref="B3:N34"/>
  <sheetViews>
    <sheetView showGridLines="0" tabSelected="1" topLeftCell="B34" workbookViewId="0">
      <selection activeCell="B25" sqref="B25:B34"/>
    </sheetView>
  </sheetViews>
  <sheetFormatPr defaultRowHeight="14.5" x14ac:dyDescent="0.35"/>
  <cols>
    <col min="2" max="2" width="19.26953125" customWidth="1"/>
    <col min="3" max="3" width="8.984375E-2" customWidth="1"/>
    <col min="4" max="4" width="8.7265625" hidden="1" customWidth="1"/>
    <col min="14" max="14" width="10.08984375" bestFit="1" customWidth="1"/>
  </cols>
  <sheetData>
    <row r="3" spans="2:14" x14ac:dyDescent="0.35">
      <c r="B3" s="39"/>
      <c r="C3" s="39"/>
      <c r="D3" s="39"/>
      <c r="E3" s="39">
        <v>42064</v>
      </c>
      <c r="F3" s="39">
        <v>42430</v>
      </c>
      <c r="G3" s="39">
        <v>42795</v>
      </c>
      <c r="H3" s="39">
        <v>43160</v>
      </c>
      <c r="I3" s="39">
        <v>43525</v>
      </c>
      <c r="J3" s="39">
        <v>43891</v>
      </c>
      <c r="K3" s="39">
        <v>44256</v>
      </c>
      <c r="L3" s="39">
        <v>44621</v>
      </c>
      <c r="M3" s="39">
        <v>44986</v>
      </c>
      <c r="N3" s="38">
        <v>45352</v>
      </c>
    </row>
    <row r="4" spans="2:14" ht="29" x14ac:dyDescent="0.35">
      <c r="B4" s="41" t="s">
        <v>84</v>
      </c>
      <c r="C4" s="43"/>
      <c r="D4" s="43"/>
      <c r="E4" s="43">
        <v>35531</v>
      </c>
      <c r="F4" s="43">
        <v>37900</v>
      </c>
      <c r="G4" s="43">
        <v>30199</v>
      </c>
      <c r="H4" s="43">
        <v>23857</v>
      </c>
      <c r="I4" s="43">
        <v>18891</v>
      </c>
      <c r="J4" s="43">
        <v>26633</v>
      </c>
      <c r="K4" s="43">
        <v>29001</v>
      </c>
      <c r="L4" s="43">
        <v>14283</v>
      </c>
      <c r="M4" s="43">
        <v>35388</v>
      </c>
      <c r="N4" s="43">
        <v>67915</v>
      </c>
    </row>
    <row r="5" spans="2:14" ht="29" x14ac:dyDescent="0.35">
      <c r="B5" s="41" t="s">
        <v>85</v>
      </c>
      <c r="C5" s="43"/>
      <c r="D5" s="43"/>
      <c r="E5" s="43">
        <v>43397</v>
      </c>
      <c r="F5" s="43">
        <v>38626</v>
      </c>
      <c r="G5" s="43">
        <v>28840</v>
      </c>
      <c r="H5" s="43">
        <v>33312</v>
      </c>
      <c r="I5" s="43">
        <v>28771</v>
      </c>
      <c r="J5" s="43">
        <v>23352</v>
      </c>
      <c r="K5" s="43">
        <v>31198</v>
      </c>
      <c r="L5" s="43">
        <v>26943</v>
      </c>
      <c r="M5" s="43">
        <v>41694</v>
      </c>
      <c r="N5" s="43">
        <v>65106</v>
      </c>
    </row>
    <row r="6" spans="2:14" x14ac:dyDescent="0.35">
      <c r="B6" s="40" t="s">
        <v>44</v>
      </c>
      <c r="C6" s="42"/>
      <c r="D6" s="44"/>
      <c r="E6" s="42">
        <v>-3179</v>
      </c>
      <c r="F6" s="42">
        <v>-2223</v>
      </c>
      <c r="G6" s="42">
        <v>-4152</v>
      </c>
      <c r="H6" s="42">
        <v>-10688</v>
      </c>
      <c r="I6" s="42">
        <v>-9109</v>
      </c>
      <c r="J6" s="42">
        <v>9950</v>
      </c>
      <c r="K6" s="42">
        <v>-5505</v>
      </c>
      <c r="L6" s="44">
        <v>185</v>
      </c>
      <c r="M6" s="42">
        <v>-2213</v>
      </c>
      <c r="N6" s="42">
        <v>-1875</v>
      </c>
    </row>
    <row r="7" spans="2:14" x14ac:dyDescent="0.35">
      <c r="B7" s="40" t="s">
        <v>30</v>
      </c>
      <c r="C7" s="42"/>
      <c r="D7" s="42"/>
      <c r="E7" s="42">
        <v>-3692</v>
      </c>
      <c r="F7" s="42">
        <v>-5743</v>
      </c>
      <c r="G7" s="42">
        <v>-6621</v>
      </c>
      <c r="H7" s="42">
        <v>-3560</v>
      </c>
      <c r="I7" s="42">
        <v>2069</v>
      </c>
      <c r="J7" s="42">
        <v>2326</v>
      </c>
      <c r="K7" s="42">
        <v>3814</v>
      </c>
      <c r="L7" s="44">
        <v>472</v>
      </c>
      <c r="M7" s="42">
        <v>-5665</v>
      </c>
      <c r="N7" s="42">
        <v>-7265</v>
      </c>
    </row>
    <row r="8" spans="2:14" x14ac:dyDescent="0.35">
      <c r="B8" s="40" t="s">
        <v>86</v>
      </c>
      <c r="C8" s="42"/>
      <c r="D8" s="42"/>
      <c r="E8" s="42">
        <v>3598</v>
      </c>
      <c r="F8" s="42">
        <v>3947</v>
      </c>
      <c r="G8" s="42">
        <v>9301</v>
      </c>
      <c r="H8" s="42">
        <v>7320</v>
      </c>
      <c r="I8" s="42">
        <v>-4692</v>
      </c>
      <c r="J8" s="42">
        <v>-8085</v>
      </c>
      <c r="K8" s="42">
        <v>5748</v>
      </c>
      <c r="L8" s="42">
        <v>-7012</v>
      </c>
      <c r="M8" s="42">
        <v>6945</v>
      </c>
      <c r="N8" s="42">
        <v>13706</v>
      </c>
    </row>
    <row r="9" spans="2:14" x14ac:dyDescent="0.35">
      <c r="B9" s="40" t="s">
        <v>87</v>
      </c>
      <c r="C9" s="44"/>
      <c r="D9" s="44"/>
      <c r="E9" s="44">
        <v>0</v>
      </c>
      <c r="F9" s="44">
        <v>-520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</row>
    <row r="10" spans="2:14" x14ac:dyDescent="0.35">
      <c r="B10" s="40" t="s">
        <v>88</v>
      </c>
      <c r="C10" s="44"/>
      <c r="D10" s="42"/>
      <c r="E10" s="44">
        <v>-398</v>
      </c>
      <c r="F10" s="42">
        <v>5852</v>
      </c>
      <c r="G10" s="42">
        <v>4727</v>
      </c>
      <c r="H10" s="44">
        <v>494</v>
      </c>
      <c r="I10" s="42">
        <v>4512</v>
      </c>
      <c r="J10" s="44">
        <v>875</v>
      </c>
      <c r="K10" s="42">
        <v>-4150</v>
      </c>
      <c r="L10" s="42">
        <v>-4396</v>
      </c>
      <c r="M10" s="42">
        <v>-2194</v>
      </c>
      <c r="N10" s="42">
        <v>2760</v>
      </c>
    </row>
    <row r="11" spans="2:14" ht="29" x14ac:dyDescent="0.35">
      <c r="B11" s="41" t="s">
        <v>89</v>
      </c>
      <c r="C11" s="45"/>
      <c r="D11" s="43"/>
      <c r="E11" s="43">
        <v>-3672</v>
      </c>
      <c r="F11" s="43">
        <v>1313</v>
      </c>
      <c r="G11" s="43">
        <v>3254</v>
      </c>
      <c r="H11" s="43">
        <v>-6434</v>
      </c>
      <c r="I11" s="43">
        <v>-7221</v>
      </c>
      <c r="J11" s="43">
        <v>5065</v>
      </c>
      <c r="K11" s="45">
        <v>-93</v>
      </c>
      <c r="L11" s="43">
        <v>-10750</v>
      </c>
      <c r="M11" s="43">
        <v>-3127</v>
      </c>
      <c r="N11" s="43">
        <v>7325</v>
      </c>
    </row>
    <row r="12" spans="2:14" x14ac:dyDescent="0.35">
      <c r="B12" s="40" t="s">
        <v>90</v>
      </c>
      <c r="C12" s="42"/>
      <c r="D12" s="42"/>
      <c r="E12" s="42">
        <v>-4194</v>
      </c>
      <c r="F12" s="42">
        <v>-2040</v>
      </c>
      <c r="G12" s="42">
        <v>-1895</v>
      </c>
      <c r="H12" s="42">
        <v>-3021</v>
      </c>
      <c r="I12" s="42">
        <v>-2659</v>
      </c>
      <c r="J12" s="42">
        <v>-1785</v>
      </c>
      <c r="K12" s="42">
        <v>-2105</v>
      </c>
      <c r="L12" s="42">
        <v>-1910</v>
      </c>
      <c r="M12" s="42">
        <v>-3179</v>
      </c>
      <c r="N12" s="42">
        <v>-4516</v>
      </c>
    </row>
    <row r="13" spans="2:14" ht="29" x14ac:dyDescent="0.35">
      <c r="B13" s="41" t="s">
        <v>91</v>
      </c>
      <c r="C13" s="43"/>
      <c r="D13" s="43"/>
      <c r="E13" s="43">
        <v>-36232</v>
      </c>
      <c r="F13" s="43">
        <v>-36694</v>
      </c>
      <c r="G13" s="43">
        <v>-39571</v>
      </c>
      <c r="H13" s="43">
        <v>-25139</v>
      </c>
      <c r="I13" s="43">
        <v>-20878</v>
      </c>
      <c r="J13" s="43">
        <v>-33115</v>
      </c>
      <c r="K13" s="43">
        <v>-25672</v>
      </c>
      <c r="L13" s="43">
        <v>-4444</v>
      </c>
      <c r="M13" s="43">
        <v>-15417</v>
      </c>
      <c r="N13" s="43">
        <v>-22782</v>
      </c>
    </row>
    <row r="14" spans="2:14" ht="29" x14ac:dyDescent="0.35">
      <c r="B14" s="40" t="s">
        <v>92</v>
      </c>
      <c r="C14" s="42"/>
      <c r="D14" s="42"/>
      <c r="E14" s="42">
        <v>-31962</v>
      </c>
      <c r="F14" s="42">
        <v>-31503</v>
      </c>
      <c r="G14" s="42">
        <v>-16072</v>
      </c>
      <c r="H14" s="42">
        <v>-35079</v>
      </c>
      <c r="I14" s="42">
        <v>-35304</v>
      </c>
      <c r="J14" s="42">
        <v>-29702</v>
      </c>
      <c r="K14" s="42">
        <v>-20205</v>
      </c>
      <c r="L14" s="42">
        <v>-15168</v>
      </c>
      <c r="M14" s="42">
        <v>-19230</v>
      </c>
      <c r="N14" s="42">
        <v>-31414</v>
      </c>
    </row>
    <row r="15" spans="2:14" x14ac:dyDescent="0.35">
      <c r="B15" s="40" t="s">
        <v>93</v>
      </c>
      <c r="C15" s="44"/>
      <c r="D15" s="44"/>
      <c r="E15" s="44">
        <v>74</v>
      </c>
      <c r="F15" s="44">
        <v>59</v>
      </c>
      <c r="G15" s="44">
        <v>53</v>
      </c>
      <c r="H15" s="44">
        <v>30</v>
      </c>
      <c r="I15" s="44">
        <v>67</v>
      </c>
      <c r="J15" s="44">
        <v>171</v>
      </c>
      <c r="K15" s="44">
        <v>351</v>
      </c>
      <c r="L15" s="44">
        <v>230</v>
      </c>
      <c r="M15" s="44">
        <v>285</v>
      </c>
      <c r="N15" s="44">
        <v>231</v>
      </c>
    </row>
    <row r="16" spans="2:14" ht="29" x14ac:dyDescent="0.35">
      <c r="B16" s="40" t="s">
        <v>94</v>
      </c>
      <c r="C16" s="44"/>
      <c r="D16" s="44"/>
      <c r="E16" s="42">
        <v>-5461</v>
      </c>
      <c r="F16" s="42">
        <v>-4728</v>
      </c>
      <c r="G16" s="44">
        <v>-6</v>
      </c>
      <c r="H16" s="44">
        <v>-329</v>
      </c>
      <c r="I16" s="44">
        <v>-130</v>
      </c>
      <c r="J16" s="42">
        <v>-1439</v>
      </c>
      <c r="K16" s="42">
        <v>-7530</v>
      </c>
      <c r="L16" s="42">
        <v>-3008</v>
      </c>
      <c r="M16" s="44">
        <v>-50</v>
      </c>
      <c r="N16" s="44">
        <v>-74</v>
      </c>
    </row>
    <row r="17" spans="2:14" x14ac:dyDescent="0.35">
      <c r="B17" s="40" t="s">
        <v>95</v>
      </c>
      <c r="C17" s="44"/>
      <c r="D17" s="44"/>
      <c r="E17" s="44">
        <v>42</v>
      </c>
      <c r="F17" s="44">
        <v>89</v>
      </c>
      <c r="G17" s="42">
        <v>1965</v>
      </c>
      <c r="H17" s="42">
        <v>2381</v>
      </c>
      <c r="I17" s="42">
        <v>5644</v>
      </c>
      <c r="J17" s="44">
        <v>21</v>
      </c>
      <c r="K17" s="44">
        <v>226</v>
      </c>
      <c r="L17" s="44">
        <v>104</v>
      </c>
      <c r="M17" s="42">
        <v>6895</v>
      </c>
      <c r="N17" s="42">
        <v>10820</v>
      </c>
    </row>
    <row r="18" spans="2:14" x14ac:dyDescent="0.35">
      <c r="B18" s="40" t="s">
        <v>96</v>
      </c>
      <c r="C18" s="44"/>
      <c r="D18" s="44"/>
      <c r="E18" s="44">
        <v>698</v>
      </c>
      <c r="F18" s="44">
        <v>731</v>
      </c>
      <c r="G18" s="44">
        <v>638</v>
      </c>
      <c r="H18" s="44">
        <v>690</v>
      </c>
      <c r="I18" s="44">
        <v>761</v>
      </c>
      <c r="J18" s="42">
        <v>1104</v>
      </c>
      <c r="K18" s="44">
        <v>428</v>
      </c>
      <c r="L18" s="44">
        <v>653</v>
      </c>
      <c r="M18" s="44">
        <v>973</v>
      </c>
      <c r="N18" s="42">
        <v>2493</v>
      </c>
    </row>
    <row r="19" spans="2:14" x14ac:dyDescent="0.35">
      <c r="B19" s="40" t="s">
        <v>97</v>
      </c>
      <c r="C19" s="44"/>
      <c r="D19" s="44"/>
      <c r="E19" s="44">
        <v>80</v>
      </c>
      <c r="F19" s="44">
        <v>58</v>
      </c>
      <c r="G19" s="44">
        <v>620</v>
      </c>
      <c r="H19" s="42">
        <v>1797</v>
      </c>
      <c r="I19" s="44">
        <v>232</v>
      </c>
      <c r="J19" s="44">
        <v>21</v>
      </c>
      <c r="K19" s="44">
        <v>18</v>
      </c>
      <c r="L19" s="44">
        <v>32</v>
      </c>
      <c r="M19" s="44">
        <v>46</v>
      </c>
      <c r="N19" s="44">
        <v>47</v>
      </c>
    </row>
    <row r="20" spans="2:14" ht="29" x14ac:dyDescent="0.35">
      <c r="B20" s="40" t="s">
        <v>98</v>
      </c>
      <c r="C20" s="44"/>
      <c r="D20" s="44"/>
      <c r="E20" s="44">
        <v>-160</v>
      </c>
      <c r="F20" s="44">
        <v>0</v>
      </c>
      <c r="G20" s="44">
        <v>-107</v>
      </c>
      <c r="H20" s="44">
        <v>-4</v>
      </c>
      <c r="I20" s="44">
        <v>-9</v>
      </c>
      <c r="J20" s="44">
        <v>-606</v>
      </c>
      <c r="K20" s="44">
        <v>-10</v>
      </c>
      <c r="L20" s="44">
        <v>0</v>
      </c>
      <c r="M20" s="44">
        <v>0</v>
      </c>
      <c r="N20" s="44">
        <v>-150</v>
      </c>
    </row>
    <row r="21" spans="2:14" ht="29" x14ac:dyDescent="0.35">
      <c r="B21" s="40" t="s">
        <v>99</v>
      </c>
      <c r="C21" s="44"/>
      <c r="D21" s="44"/>
      <c r="E21" s="44">
        <v>0</v>
      </c>
      <c r="F21" s="44">
        <v>0</v>
      </c>
      <c r="G21" s="44">
        <v>0</v>
      </c>
      <c r="H21" s="44">
        <v>14</v>
      </c>
      <c r="I21" s="44">
        <v>533</v>
      </c>
      <c r="J21" s="44">
        <v>0</v>
      </c>
      <c r="K21" s="44">
        <v>0</v>
      </c>
      <c r="L21" s="44">
        <v>0</v>
      </c>
      <c r="M21" s="44">
        <v>19</v>
      </c>
      <c r="N21" s="44">
        <v>108</v>
      </c>
    </row>
    <row r="22" spans="2:14" ht="29" x14ac:dyDescent="0.35">
      <c r="B22" s="40" t="s">
        <v>100</v>
      </c>
      <c r="C22" s="44"/>
      <c r="D22" s="44"/>
      <c r="E22" s="44">
        <v>0</v>
      </c>
      <c r="F22" s="44">
        <v>-111</v>
      </c>
      <c r="G22" s="44">
        <v>0</v>
      </c>
      <c r="H22" s="44">
        <v>0</v>
      </c>
      <c r="I22" s="44">
        <v>-8</v>
      </c>
      <c r="J22" s="44">
        <v>-27</v>
      </c>
      <c r="K22" s="44">
        <v>0</v>
      </c>
      <c r="L22" s="44">
        <v>-98</v>
      </c>
      <c r="M22" s="44">
        <v>0</v>
      </c>
      <c r="N22" s="44">
        <v>0</v>
      </c>
    </row>
    <row r="23" spans="2:14" ht="29" x14ac:dyDescent="0.35">
      <c r="B23" s="40" t="s">
        <v>101</v>
      </c>
      <c r="C23" s="44"/>
      <c r="D23" s="44"/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-24</v>
      </c>
    </row>
    <row r="24" spans="2:14" x14ac:dyDescent="0.35">
      <c r="B24" s="40" t="s">
        <v>102</v>
      </c>
      <c r="C24" s="42"/>
      <c r="D24" s="42"/>
      <c r="E24" s="44">
        <v>456</v>
      </c>
      <c r="F24" s="42">
        <v>-1289</v>
      </c>
      <c r="G24" s="42">
        <v>-26663</v>
      </c>
      <c r="H24" s="42">
        <v>5360</v>
      </c>
      <c r="I24" s="42">
        <v>7335</v>
      </c>
      <c r="J24" s="42">
        <v>-2659</v>
      </c>
      <c r="K24" s="42">
        <v>1051</v>
      </c>
      <c r="L24" s="42">
        <v>12813</v>
      </c>
      <c r="M24" s="42">
        <v>-4357</v>
      </c>
      <c r="N24" s="42">
        <v>-4817</v>
      </c>
    </row>
    <row r="25" spans="2:14" ht="29" x14ac:dyDescent="0.35">
      <c r="B25" s="41" t="s">
        <v>103</v>
      </c>
      <c r="C25" s="43"/>
      <c r="D25" s="43"/>
      <c r="E25" s="43">
        <v>5201</v>
      </c>
      <c r="F25" s="43">
        <v>-3795</v>
      </c>
      <c r="G25" s="43">
        <v>6205</v>
      </c>
      <c r="H25" s="43">
        <v>2012</v>
      </c>
      <c r="I25" s="43">
        <v>8830</v>
      </c>
      <c r="J25" s="43">
        <v>3390</v>
      </c>
      <c r="K25" s="43">
        <v>9904</v>
      </c>
      <c r="L25" s="43">
        <v>-3380</v>
      </c>
      <c r="M25" s="43">
        <v>-26243</v>
      </c>
      <c r="N25" s="43">
        <v>-37006</v>
      </c>
    </row>
    <row r="26" spans="2:14" x14ac:dyDescent="0.35">
      <c r="B26" s="40" t="s">
        <v>104</v>
      </c>
      <c r="C26" s="44"/>
      <c r="D26" s="44"/>
      <c r="E26" s="44">
        <v>0</v>
      </c>
      <c r="F26" s="42">
        <v>7433</v>
      </c>
      <c r="G26" s="44">
        <v>5</v>
      </c>
      <c r="H26" s="44">
        <v>0</v>
      </c>
      <c r="I26" s="44">
        <v>0</v>
      </c>
      <c r="J26" s="42">
        <v>3889</v>
      </c>
      <c r="K26" s="42">
        <v>2603</v>
      </c>
      <c r="L26" s="44">
        <v>19</v>
      </c>
      <c r="M26" s="44">
        <v>20</v>
      </c>
      <c r="N26" s="44">
        <v>82</v>
      </c>
    </row>
    <row r="27" spans="2:14" ht="29" x14ac:dyDescent="0.35">
      <c r="B27" s="40" t="s">
        <v>105</v>
      </c>
      <c r="C27" s="44"/>
      <c r="D27" s="44"/>
      <c r="E27" s="44">
        <v>-744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</row>
    <row r="28" spans="2:14" ht="29" x14ac:dyDescent="0.35">
      <c r="B28" s="40" t="s">
        <v>106</v>
      </c>
      <c r="C28" s="42"/>
      <c r="D28" s="42"/>
      <c r="E28" s="42">
        <v>36363</v>
      </c>
      <c r="F28" s="42">
        <v>19519</v>
      </c>
      <c r="G28" s="42">
        <v>33390</v>
      </c>
      <c r="H28" s="42">
        <v>37482</v>
      </c>
      <c r="I28" s="42">
        <v>51128</v>
      </c>
      <c r="J28" s="42">
        <v>38297</v>
      </c>
      <c r="K28" s="42">
        <v>46641</v>
      </c>
      <c r="L28" s="42">
        <v>46578</v>
      </c>
      <c r="M28" s="42">
        <v>43934</v>
      </c>
      <c r="N28" s="42">
        <v>18747</v>
      </c>
    </row>
    <row r="29" spans="2:14" ht="29" x14ac:dyDescent="0.35">
      <c r="B29" s="40" t="s">
        <v>107</v>
      </c>
      <c r="C29" s="42"/>
      <c r="D29" s="42"/>
      <c r="E29" s="42">
        <v>-23332</v>
      </c>
      <c r="F29" s="42">
        <v>-24924</v>
      </c>
      <c r="G29" s="42">
        <v>-21732</v>
      </c>
      <c r="H29" s="42">
        <v>-29964</v>
      </c>
      <c r="I29" s="42">
        <v>-35198</v>
      </c>
      <c r="J29" s="42">
        <v>-29847</v>
      </c>
      <c r="K29" s="42">
        <v>-29709</v>
      </c>
      <c r="L29" s="42">
        <v>-42816</v>
      </c>
      <c r="M29" s="42">
        <v>-62557</v>
      </c>
      <c r="N29" s="42">
        <v>-47332</v>
      </c>
    </row>
    <row r="30" spans="2:14" x14ac:dyDescent="0.35">
      <c r="B30" s="40" t="s">
        <v>108</v>
      </c>
      <c r="C30" s="42"/>
      <c r="D30" s="42"/>
      <c r="E30" s="42">
        <v>-6307</v>
      </c>
      <c r="F30" s="42">
        <v>-5716</v>
      </c>
      <c r="G30" s="42">
        <v>-5336</v>
      </c>
      <c r="H30" s="42">
        <v>-5411</v>
      </c>
      <c r="I30" s="42">
        <v>-7005</v>
      </c>
      <c r="J30" s="42">
        <v>-7518</v>
      </c>
      <c r="K30" s="42">
        <v>-8123</v>
      </c>
      <c r="L30" s="42">
        <v>-9251</v>
      </c>
      <c r="M30" s="42">
        <v>-9336</v>
      </c>
      <c r="N30" s="42">
        <v>-9332</v>
      </c>
    </row>
    <row r="31" spans="2:14" x14ac:dyDescent="0.35">
      <c r="B31" s="40" t="s">
        <v>109</v>
      </c>
      <c r="C31" s="42"/>
      <c r="D31" s="44"/>
      <c r="E31" s="44">
        <v>-720</v>
      </c>
      <c r="F31" s="44">
        <v>-108</v>
      </c>
      <c r="G31" s="44">
        <v>-121</v>
      </c>
      <c r="H31" s="44">
        <v>-96</v>
      </c>
      <c r="I31" s="44">
        <v>-95</v>
      </c>
      <c r="J31" s="44">
        <v>-57</v>
      </c>
      <c r="K31" s="44">
        <v>-30</v>
      </c>
      <c r="L31" s="44">
        <v>-100</v>
      </c>
      <c r="M31" s="44">
        <v>-141</v>
      </c>
      <c r="N31" s="42">
        <v>-1059</v>
      </c>
    </row>
    <row r="32" spans="2:14" x14ac:dyDescent="0.35">
      <c r="B32" s="40" t="s">
        <v>110</v>
      </c>
      <c r="C32" s="44"/>
      <c r="D32" s="44"/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2">
        <v>-1346</v>
      </c>
      <c r="K32" s="42">
        <v>-1477</v>
      </c>
      <c r="L32" s="42">
        <v>-1559</v>
      </c>
      <c r="M32" s="42">
        <v>-1517</v>
      </c>
      <c r="N32" s="42">
        <v>-1924</v>
      </c>
    </row>
    <row r="33" spans="2:14" x14ac:dyDescent="0.35">
      <c r="B33" s="40" t="s">
        <v>111</v>
      </c>
      <c r="C33" s="42"/>
      <c r="D33" s="44"/>
      <c r="E33" s="44">
        <v>-57</v>
      </c>
      <c r="F33" s="44">
        <v>0</v>
      </c>
      <c r="G33" s="44">
        <v>0</v>
      </c>
      <c r="H33" s="44">
        <v>0</v>
      </c>
      <c r="I33" s="44">
        <v>0</v>
      </c>
      <c r="J33" s="44">
        <v>-29</v>
      </c>
      <c r="K33" s="44">
        <v>0</v>
      </c>
      <c r="L33" s="42">
        <v>3750</v>
      </c>
      <c r="M33" s="42">
        <v>3355</v>
      </c>
      <c r="N33" s="42">
        <v>3812</v>
      </c>
    </row>
    <row r="34" spans="2:14" x14ac:dyDescent="0.35">
      <c r="B34" s="41" t="s">
        <v>21</v>
      </c>
      <c r="C34" s="43"/>
      <c r="D34" s="43"/>
      <c r="E34" s="43">
        <v>4500</v>
      </c>
      <c r="F34" s="43">
        <v>-2589</v>
      </c>
      <c r="G34" s="43">
        <v>-3167</v>
      </c>
      <c r="H34" s="45">
        <v>730</v>
      </c>
      <c r="I34" s="43">
        <v>6843</v>
      </c>
      <c r="J34" s="43">
        <v>-3092</v>
      </c>
      <c r="K34" s="43">
        <v>13232</v>
      </c>
      <c r="L34" s="43">
        <v>6459</v>
      </c>
      <c r="M34" s="43">
        <v>-6272</v>
      </c>
      <c r="N34" s="43">
        <v>8128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EDB4-B49A-4031-BCAE-544280F22082}">
  <sheetPr>
    <tabColor rgb="FF002060"/>
  </sheetPr>
  <dimension ref="A1"/>
  <sheetViews>
    <sheetView showGridLines="0" workbookViewId="0">
      <selection activeCell="A2" sqref="A2"/>
    </sheetView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Sheet</vt:lpstr>
      <vt:lpstr>Financials&gt;</vt:lpstr>
      <vt:lpstr>HistoricalFS</vt:lpstr>
      <vt:lpstr>Ratio Analysis</vt:lpstr>
      <vt:lpstr>Forecasting</vt:lpstr>
      <vt:lpstr>WACC</vt:lpstr>
      <vt:lpstr>Cash Flow Data</vt:lpstr>
      <vt:lpstr>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Devesh vyas</cp:lastModifiedBy>
  <cp:lastPrinted>2024-06-23T04:23:14Z</cp:lastPrinted>
  <dcterms:created xsi:type="dcterms:W3CDTF">2012-08-17T09:55:37Z</dcterms:created>
  <dcterms:modified xsi:type="dcterms:W3CDTF">2024-07-13T23:43:19Z</dcterms:modified>
</cp:coreProperties>
</file>