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6B20673-C954-452C-B776-924CA817B2A4}" xr6:coauthVersionLast="47" xr6:coauthVersionMax="47" xr10:uidLastSave="{00000000-0000-0000-0000-000000000000}"/>
  <bookViews>
    <workbookView xWindow="0" yWindow="0" windowWidth="19200" windowHeight="10800" xr2:uid="{F0FDC08C-212D-4702-A864-37280E9655EE}"/>
  </bookViews>
  <sheets>
    <sheet name="S&amp;P500 Valuation" sheetId="1" r:id="rId1"/>
    <sheet name="S&amp;P500growthEPS" sheetId="4" r:id="rId2"/>
    <sheet name="ExpectedDiv&amp;BB" sheetId="9" r:id="rId3"/>
    <sheet name="S&amp;P500 Historical" sheetId="5" r:id="rId4"/>
    <sheet name="10 yr Govt Bond yield" sheetId="6" r:id="rId5"/>
    <sheet name="ERPHistoricals" sheetId="7" r:id="rId6"/>
    <sheet name="Buyback Yield" sheetId="8" r:id="rId7"/>
  </sheets>
  <definedNames>
    <definedName name="_xlnm._FilterDatabase" localSheetId="6" hidden="1">'Buyback Yield'!$B$2:$E$98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B15" i="1"/>
  <c r="B16" i="1" s="1"/>
  <c r="B17" i="1" s="1"/>
  <c r="B18" i="1" s="1"/>
  <c r="B19" i="1" s="1"/>
  <c r="B20" i="1" s="1"/>
  <c r="B21" i="1" s="1"/>
  <c r="B22" i="1" s="1"/>
  <c r="B14" i="1"/>
  <c r="D4" i="1"/>
  <c r="C4" i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3" i="9"/>
  <c r="R13" i="4"/>
  <c r="R14" i="4"/>
  <c r="R15" i="4"/>
  <c r="R16" i="4"/>
  <c r="R17" i="4"/>
  <c r="R18" i="4"/>
  <c r="U25" i="4" s="1"/>
  <c r="R19" i="4"/>
  <c r="R20" i="4"/>
  <c r="T25" i="4" s="1"/>
  <c r="R21" i="4"/>
  <c r="R22" i="4"/>
  <c r="V32" i="4" s="1"/>
  <c r="R23" i="4"/>
  <c r="R24" i="4"/>
  <c r="R25" i="4"/>
  <c r="R26" i="4"/>
  <c r="R27" i="4"/>
  <c r="V27" i="4" s="1"/>
  <c r="R28" i="4"/>
  <c r="R29" i="4"/>
  <c r="R30" i="4"/>
  <c r="V30" i="4" s="1"/>
  <c r="R31" i="4"/>
  <c r="R32" i="4"/>
  <c r="R33" i="4"/>
  <c r="R34" i="4"/>
  <c r="U41" i="4" s="1"/>
  <c r="R35" i="4"/>
  <c r="V35" i="4" s="1"/>
  <c r="R36" i="4"/>
  <c r="R37" i="4"/>
  <c r="R38" i="4"/>
  <c r="V48" i="4" s="1"/>
  <c r="R39" i="4"/>
  <c r="R40" i="4"/>
  <c r="R41" i="4"/>
  <c r="R42" i="4"/>
  <c r="U49" i="4" s="1"/>
  <c r="R43" i="4"/>
  <c r="V43" i="4" s="1"/>
  <c r="R44" i="4"/>
  <c r="T49" i="4" s="1"/>
  <c r="R45" i="4"/>
  <c r="R46" i="4"/>
  <c r="R47" i="4"/>
  <c r="R48" i="4"/>
  <c r="R49" i="4"/>
  <c r="R50" i="4"/>
  <c r="U57" i="4" s="1"/>
  <c r="R51" i="4"/>
  <c r="V51" i="4" s="1"/>
  <c r="R52" i="4"/>
  <c r="T57" i="4" s="1"/>
  <c r="R53" i="4"/>
  <c r="R54" i="4"/>
  <c r="R55" i="4"/>
  <c r="R56" i="4"/>
  <c r="R57" i="4"/>
  <c r="R58" i="4"/>
  <c r="U65" i="4" s="1"/>
  <c r="R59" i="4"/>
  <c r="V59" i="4" s="1"/>
  <c r="R60" i="4"/>
  <c r="R61" i="4"/>
  <c r="R62" i="4"/>
  <c r="R63" i="4"/>
  <c r="R64" i="4"/>
  <c r="R65" i="4"/>
  <c r="R12" i="4"/>
  <c r="I6" i="8"/>
  <c r="I14" i="8"/>
  <c r="I22" i="8"/>
  <c r="I30" i="8"/>
  <c r="I38" i="8"/>
  <c r="I46" i="8"/>
  <c r="I54" i="8"/>
  <c r="I62" i="8"/>
  <c r="I70" i="8"/>
  <c r="I78" i="8"/>
  <c r="I86" i="8"/>
  <c r="I94" i="8"/>
  <c r="M4" i="5"/>
  <c r="N4" i="5" s="1"/>
  <c r="M12" i="5"/>
  <c r="M20" i="5"/>
  <c r="M28" i="5"/>
  <c r="M36" i="5"/>
  <c r="M44" i="5"/>
  <c r="M52" i="5"/>
  <c r="M3" i="5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M56" i="5" s="1"/>
  <c r="L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4" i="5"/>
  <c r="J6" i="6"/>
  <c r="J7" i="6"/>
  <c r="J8" i="6"/>
  <c r="J9" i="6"/>
  <c r="J10" i="6"/>
  <c r="J11" i="6"/>
  <c r="J14" i="6"/>
  <c r="J15" i="6"/>
  <c r="J16" i="6"/>
  <c r="J17" i="6"/>
  <c r="J18" i="6"/>
  <c r="J19" i="6"/>
  <c r="J22" i="6"/>
  <c r="J23" i="6"/>
  <c r="J24" i="6"/>
  <c r="J25" i="6"/>
  <c r="J26" i="6"/>
  <c r="J27" i="6"/>
  <c r="J30" i="6"/>
  <c r="J31" i="6"/>
  <c r="J32" i="6"/>
  <c r="J33" i="6"/>
  <c r="J34" i="6"/>
  <c r="J35" i="6"/>
  <c r="J38" i="6"/>
  <c r="J39" i="6"/>
  <c r="J40" i="6"/>
  <c r="J41" i="6"/>
  <c r="J42" i="6"/>
  <c r="J43" i="6"/>
  <c r="J46" i="6"/>
  <c r="J47" i="6"/>
  <c r="J48" i="6"/>
  <c r="J3" i="6"/>
  <c r="I49" i="6"/>
  <c r="J49" i="6" s="1"/>
  <c r="I50" i="6"/>
  <c r="I51" i="6" s="1"/>
  <c r="I4" i="6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H3" i="7"/>
  <c r="H5" i="7"/>
  <c r="H7" i="7"/>
  <c r="H9" i="7"/>
  <c r="H11" i="7"/>
  <c r="D9" i="1" s="1"/>
  <c r="H5" i="8"/>
  <c r="I5" i="8" s="1"/>
  <c r="H6" i="8"/>
  <c r="H7" i="8"/>
  <c r="I7" i="8" s="1"/>
  <c r="H8" i="8"/>
  <c r="I8" i="8" s="1"/>
  <c r="H9" i="8"/>
  <c r="I9" i="8" s="1"/>
  <c r="H10" i="8"/>
  <c r="I10" i="8" s="1"/>
  <c r="H11" i="8"/>
  <c r="I11" i="8" s="1"/>
  <c r="H12" i="8"/>
  <c r="I12" i="8" s="1"/>
  <c r="H13" i="8"/>
  <c r="I13" i="8" s="1"/>
  <c r="H14" i="8"/>
  <c r="H15" i="8"/>
  <c r="I15" i="8" s="1"/>
  <c r="H16" i="8"/>
  <c r="I16" i="8" s="1"/>
  <c r="H17" i="8"/>
  <c r="I17" i="8" s="1"/>
  <c r="H18" i="8"/>
  <c r="I18" i="8" s="1"/>
  <c r="H19" i="8"/>
  <c r="I19" i="8" s="1"/>
  <c r="H20" i="8"/>
  <c r="I20" i="8" s="1"/>
  <c r="H21" i="8"/>
  <c r="I21" i="8" s="1"/>
  <c r="H22" i="8"/>
  <c r="H23" i="8"/>
  <c r="I23" i="8" s="1"/>
  <c r="H24" i="8"/>
  <c r="I24" i="8" s="1"/>
  <c r="H25" i="8"/>
  <c r="I25" i="8" s="1"/>
  <c r="H26" i="8"/>
  <c r="I26" i="8" s="1"/>
  <c r="H27" i="8"/>
  <c r="I27" i="8" s="1"/>
  <c r="H28" i="8"/>
  <c r="L4" i="8" s="1"/>
  <c r="H29" i="8"/>
  <c r="I29" i="8" s="1"/>
  <c r="H30" i="8"/>
  <c r="H31" i="8"/>
  <c r="I31" i="8" s="1"/>
  <c r="H32" i="8"/>
  <c r="I32" i="8" s="1"/>
  <c r="H33" i="8"/>
  <c r="I33" i="8" s="1"/>
  <c r="H34" i="8"/>
  <c r="I34" i="8" s="1"/>
  <c r="H35" i="8"/>
  <c r="I35" i="8" s="1"/>
  <c r="H36" i="8"/>
  <c r="I36" i="8" s="1"/>
  <c r="H37" i="8"/>
  <c r="I37" i="8" s="1"/>
  <c r="H38" i="8"/>
  <c r="H39" i="8"/>
  <c r="I39" i="8" s="1"/>
  <c r="H40" i="8"/>
  <c r="I40" i="8" s="1"/>
  <c r="H41" i="8"/>
  <c r="I41" i="8" s="1"/>
  <c r="H42" i="8"/>
  <c r="I42" i="8" s="1"/>
  <c r="H43" i="8"/>
  <c r="I43" i="8" s="1"/>
  <c r="H44" i="8"/>
  <c r="I44" i="8" s="1"/>
  <c r="H45" i="8"/>
  <c r="I45" i="8" s="1"/>
  <c r="H46" i="8"/>
  <c r="H47" i="8"/>
  <c r="I47" i="8" s="1"/>
  <c r="H48" i="8"/>
  <c r="I48" i="8" s="1"/>
  <c r="H49" i="8"/>
  <c r="I49" i="8" s="1"/>
  <c r="H50" i="8"/>
  <c r="I50" i="8" s="1"/>
  <c r="H51" i="8"/>
  <c r="I51" i="8" s="1"/>
  <c r="H52" i="8"/>
  <c r="I52" i="8" s="1"/>
  <c r="H53" i="8"/>
  <c r="I53" i="8" s="1"/>
  <c r="H54" i="8"/>
  <c r="H55" i="8"/>
  <c r="I55" i="8" s="1"/>
  <c r="H56" i="8"/>
  <c r="I56" i="8" s="1"/>
  <c r="H57" i="8"/>
  <c r="I57" i="8" s="1"/>
  <c r="H58" i="8"/>
  <c r="I58" i="8" s="1"/>
  <c r="H59" i="8"/>
  <c r="I59" i="8" s="1"/>
  <c r="H60" i="8"/>
  <c r="I60" i="8" s="1"/>
  <c r="H61" i="8"/>
  <c r="I61" i="8" s="1"/>
  <c r="H62" i="8"/>
  <c r="H63" i="8"/>
  <c r="I63" i="8" s="1"/>
  <c r="H64" i="8"/>
  <c r="I64" i="8" s="1"/>
  <c r="H65" i="8"/>
  <c r="I65" i="8" s="1"/>
  <c r="H66" i="8"/>
  <c r="I66" i="8" s="1"/>
  <c r="H67" i="8"/>
  <c r="I67" i="8" s="1"/>
  <c r="H68" i="8"/>
  <c r="I68" i="8" s="1"/>
  <c r="H69" i="8"/>
  <c r="I69" i="8" s="1"/>
  <c r="H70" i="8"/>
  <c r="H71" i="8"/>
  <c r="I71" i="8" s="1"/>
  <c r="H72" i="8"/>
  <c r="I72" i="8" s="1"/>
  <c r="H73" i="8"/>
  <c r="I73" i="8" s="1"/>
  <c r="H74" i="8"/>
  <c r="I74" i="8" s="1"/>
  <c r="H75" i="8"/>
  <c r="I75" i="8" s="1"/>
  <c r="H76" i="8"/>
  <c r="I76" i="8" s="1"/>
  <c r="H77" i="8"/>
  <c r="I77" i="8" s="1"/>
  <c r="H78" i="8"/>
  <c r="H79" i="8"/>
  <c r="I79" i="8" s="1"/>
  <c r="H80" i="8"/>
  <c r="I80" i="8" s="1"/>
  <c r="H81" i="8"/>
  <c r="I81" i="8" s="1"/>
  <c r="H82" i="8"/>
  <c r="I82" i="8" s="1"/>
  <c r="H83" i="8"/>
  <c r="I83" i="8" s="1"/>
  <c r="H84" i="8"/>
  <c r="I84" i="8" s="1"/>
  <c r="H85" i="8"/>
  <c r="I85" i="8" s="1"/>
  <c r="H86" i="8"/>
  <c r="H87" i="8"/>
  <c r="I87" i="8" s="1"/>
  <c r="H88" i="8"/>
  <c r="I88" i="8" s="1"/>
  <c r="H89" i="8"/>
  <c r="I89" i="8" s="1"/>
  <c r="H90" i="8"/>
  <c r="I90" i="8" s="1"/>
  <c r="H91" i="8"/>
  <c r="I91" i="8" s="1"/>
  <c r="H92" i="8"/>
  <c r="I92" i="8" s="1"/>
  <c r="H93" i="8"/>
  <c r="I93" i="8" s="1"/>
  <c r="H94" i="8"/>
  <c r="H95" i="8"/>
  <c r="I95" i="8" s="1"/>
  <c r="H96" i="8"/>
  <c r="I96" i="8" s="1"/>
  <c r="H97" i="8"/>
  <c r="I97" i="8" s="1"/>
  <c r="H98" i="8"/>
  <c r="I98" i="8" s="1"/>
  <c r="H4" i="8"/>
  <c r="I4" i="8" s="1"/>
  <c r="G3" i="8"/>
  <c r="N56" i="5" l="1"/>
  <c r="N12" i="5"/>
  <c r="N52" i="5"/>
  <c r="I52" i="6"/>
  <c r="J51" i="6"/>
  <c r="M51" i="5"/>
  <c r="N51" i="5" s="1"/>
  <c r="M43" i="5"/>
  <c r="N43" i="5" s="1"/>
  <c r="M35" i="5"/>
  <c r="N35" i="5" s="1"/>
  <c r="M27" i="5"/>
  <c r="M19" i="5"/>
  <c r="N19" i="5" s="1"/>
  <c r="M11" i="5"/>
  <c r="S45" i="4"/>
  <c r="M50" i="5"/>
  <c r="M42" i="5"/>
  <c r="M34" i="5"/>
  <c r="M26" i="5"/>
  <c r="M18" i="5"/>
  <c r="M10" i="5"/>
  <c r="N10" i="5" s="1"/>
  <c r="R12" i="5"/>
  <c r="I28" i="8"/>
  <c r="L6" i="8" s="1"/>
  <c r="U26" i="4"/>
  <c r="S44" i="4"/>
  <c r="M49" i="5"/>
  <c r="N49" i="5" s="1"/>
  <c r="M41" i="5"/>
  <c r="N41" i="5" s="1"/>
  <c r="M33" i="5"/>
  <c r="N33" i="5" s="1"/>
  <c r="M25" i="5"/>
  <c r="N25" i="5" s="1"/>
  <c r="M17" i="5"/>
  <c r="N17" i="5" s="1"/>
  <c r="M9" i="5"/>
  <c r="S29" i="4"/>
  <c r="J50" i="6"/>
  <c r="J45" i="6"/>
  <c r="J37" i="6"/>
  <c r="J29" i="6"/>
  <c r="J21" i="6"/>
  <c r="J13" i="6"/>
  <c r="J5" i="6"/>
  <c r="M48" i="5"/>
  <c r="M40" i="5"/>
  <c r="M32" i="5"/>
  <c r="M24" i="5"/>
  <c r="M16" i="5"/>
  <c r="M8" i="5"/>
  <c r="T65" i="4"/>
  <c r="S60" i="4"/>
  <c r="T41" i="4"/>
  <c r="T33" i="4"/>
  <c r="S28" i="4"/>
  <c r="J44" i="6"/>
  <c r="J36" i="6"/>
  <c r="J28" i="6"/>
  <c r="J20" i="6"/>
  <c r="J12" i="6"/>
  <c r="J4" i="6"/>
  <c r="M55" i="5"/>
  <c r="M47" i="5"/>
  <c r="M39" i="5"/>
  <c r="M31" i="5"/>
  <c r="M23" i="5"/>
  <c r="M15" i="5"/>
  <c r="N15" i="5" s="1"/>
  <c r="M7" i="5"/>
  <c r="N7" i="5" s="1"/>
  <c r="V64" i="4"/>
  <c r="T61" i="4"/>
  <c r="U47" i="4"/>
  <c r="U31" i="4"/>
  <c r="M54" i="5"/>
  <c r="N54" i="5" s="1"/>
  <c r="M46" i="5"/>
  <c r="N46" i="5" s="1"/>
  <c r="M38" i="5"/>
  <c r="N38" i="5" s="1"/>
  <c r="M30" i="5"/>
  <c r="N30" i="5" s="1"/>
  <c r="M22" i="5"/>
  <c r="N22" i="5" s="1"/>
  <c r="M14" i="5"/>
  <c r="M6" i="5"/>
  <c r="N6" i="5" s="1"/>
  <c r="M53" i="5"/>
  <c r="N53" i="5" s="1"/>
  <c r="M45" i="5"/>
  <c r="N45" i="5" s="1"/>
  <c r="M37" i="5"/>
  <c r="M29" i="5"/>
  <c r="N29" i="5" s="1"/>
  <c r="M21" i="5"/>
  <c r="N21" i="5" s="1"/>
  <c r="M13" i="5"/>
  <c r="N13" i="5" s="1"/>
  <c r="M5" i="5"/>
  <c r="N5" i="5" s="1"/>
  <c r="V46" i="4"/>
  <c r="U19" i="4"/>
  <c r="T48" i="4"/>
  <c r="U33" i="4"/>
  <c r="T47" i="4"/>
  <c r="U58" i="4"/>
  <c r="U50" i="4"/>
  <c r="T32" i="4"/>
  <c r="V63" i="4"/>
  <c r="V55" i="4"/>
  <c r="V47" i="4"/>
  <c r="V39" i="4"/>
  <c r="V31" i="4"/>
  <c r="V23" i="4"/>
  <c r="T63" i="4"/>
  <c r="T31" i="4"/>
  <c r="U42" i="4"/>
  <c r="U34" i="4"/>
  <c r="U64" i="4"/>
  <c r="S65" i="4"/>
  <c r="T64" i="4"/>
  <c r="V58" i="4"/>
  <c r="T53" i="4"/>
  <c r="V42" i="4"/>
  <c r="T37" i="4"/>
  <c r="V26" i="4"/>
  <c r="T21" i="4"/>
  <c r="U48" i="4"/>
  <c r="U32" i="4"/>
  <c r="T60" i="4"/>
  <c r="U62" i="4"/>
  <c r="T52" i="4"/>
  <c r="U54" i="4"/>
  <c r="S50" i="4"/>
  <c r="T44" i="4"/>
  <c r="U46" i="4"/>
  <c r="S42" i="4"/>
  <c r="T36" i="4"/>
  <c r="U38" i="4"/>
  <c r="S34" i="4"/>
  <c r="T28" i="4"/>
  <c r="U30" i="4"/>
  <c r="S26" i="4"/>
  <c r="T20" i="4"/>
  <c r="U22" i="4"/>
  <c r="S18" i="4"/>
  <c r="S58" i="4"/>
  <c r="S43" i="4"/>
  <c r="S27" i="4"/>
  <c r="T62" i="4"/>
  <c r="T46" i="4"/>
  <c r="T30" i="4"/>
  <c r="U63" i="4"/>
  <c r="V62" i="4"/>
  <c r="V50" i="4"/>
  <c r="T45" i="4"/>
  <c r="V34" i="4"/>
  <c r="T29" i="4"/>
  <c r="S59" i="4"/>
  <c r="T59" i="4"/>
  <c r="U61" i="4"/>
  <c r="S57" i="4"/>
  <c r="U53" i="4"/>
  <c r="S49" i="4"/>
  <c r="T51" i="4"/>
  <c r="T43" i="4"/>
  <c r="U45" i="4"/>
  <c r="S41" i="4"/>
  <c r="T35" i="4"/>
  <c r="U37" i="4"/>
  <c r="S33" i="4"/>
  <c r="U29" i="4"/>
  <c r="S25" i="4"/>
  <c r="T27" i="4"/>
  <c r="T19" i="4"/>
  <c r="U21" i="4"/>
  <c r="S17" i="4"/>
  <c r="S54" i="4"/>
  <c r="S38" i="4"/>
  <c r="S22" i="4"/>
  <c r="V57" i="4"/>
  <c r="V41" i="4"/>
  <c r="V25" i="4"/>
  <c r="V56" i="4"/>
  <c r="V40" i="4"/>
  <c r="V24" i="4"/>
  <c r="S63" i="4"/>
  <c r="V60" i="4"/>
  <c r="U59" i="4"/>
  <c r="S55" i="4"/>
  <c r="V52" i="4"/>
  <c r="U51" i="4"/>
  <c r="S47" i="4"/>
  <c r="V44" i="4"/>
  <c r="U43" i="4"/>
  <c r="S39" i="4"/>
  <c r="V36" i="4"/>
  <c r="U35" i="4"/>
  <c r="S31" i="4"/>
  <c r="V28" i="4"/>
  <c r="U27" i="4"/>
  <c r="S23" i="4"/>
  <c r="S15" i="4"/>
  <c r="S52" i="4"/>
  <c r="S36" i="4"/>
  <c r="S20" i="4"/>
  <c r="T55" i="4"/>
  <c r="T39" i="4"/>
  <c r="T23" i="4"/>
  <c r="U56" i="4"/>
  <c r="U40" i="4"/>
  <c r="U24" i="4"/>
  <c r="S62" i="4"/>
  <c r="S51" i="4"/>
  <c r="S35" i="4"/>
  <c r="S19" i="4"/>
  <c r="T54" i="4"/>
  <c r="T38" i="4"/>
  <c r="T22" i="4"/>
  <c r="U55" i="4"/>
  <c r="U39" i="4"/>
  <c r="U23" i="4"/>
  <c r="V54" i="4"/>
  <c r="V38" i="4"/>
  <c r="S64" i="4"/>
  <c r="V61" i="4"/>
  <c r="T58" i="4"/>
  <c r="S56" i="4"/>
  <c r="V53" i="4"/>
  <c r="U60" i="4"/>
  <c r="T50" i="4"/>
  <c r="U52" i="4"/>
  <c r="V45" i="4"/>
  <c r="S48" i="4"/>
  <c r="T42" i="4"/>
  <c r="S40" i="4"/>
  <c r="V37" i="4"/>
  <c r="U44" i="4"/>
  <c r="T34" i="4"/>
  <c r="U36" i="4"/>
  <c r="S32" i="4"/>
  <c r="V29" i="4"/>
  <c r="T26" i="4"/>
  <c r="U28" i="4"/>
  <c r="S24" i="4"/>
  <c r="T18" i="4"/>
  <c r="U20" i="4"/>
  <c r="S16" i="4"/>
  <c r="S53" i="4"/>
  <c r="S37" i="4"/>
  <c r="S21" i="4"/>
  <c r="T56" i="4"/>
  <c r="T40" i="4"/>
  <c r="T24" i="4"/>
  <c r="V22" i="4"/>
  <c r="S61" i="4"/>
  <c r="S46" i="4"/>
  <c r="S30" i="4"/>
  <c r="V65" i="4"/>
  <c r="V49" i="4"/>
  <c r="V33" i="4"/>
  <c r="T17" i="4"/>
  <c r="L5" i="8"/>
  <c r="F11" i="9" l="1"/>
  <c r="G11" i="9" s="1"/>
  <c r="F19" i="9"/>
  <c r="G19" i="9" s="1"/>
  <c r="F27" i="9"/>
  <c r="G27" i="9" s="1"/>
  <c r="F35" i="9"/>
  <c r="G35" i="9" s="1"/>
  <c r="F43" i="9"/>
  <c r="G43" i="9" s="1"/>
  <c r="F51" i="9"/>
  <c r="G51" i="9" s="1"/>
  <c r="F4" i="9"/>
  <c r="G4" i="9" s="1"/>
  <c r="F12" i="9"/>
  <c r="G12" i="9" s="1"/>
  <c r="F20" i="9"/>
  <c r="G20" i="9" s="1"/>
  <c r="F28" i="9"/>
  <c r="G28" i="9" s="1"/>
  <c r="F36" i="9"/>
  <c r="G36" i="9" s="1"/>
  <c r="F44" i="9"/>
  <c r="G44" i="9" s="1"/>
  <c r="F52" i="9"/>
  <c r="G52" i="9" s="1"/>
  <c r="F8" i="9"/>
  <c r="G8" i="9" s="1"/>
  <c r="F16" i="9"/>
  <c r="G16" i="9" s="1"/>
  <c r="F24" i="9"/>
  <c r="G24" i="9" s="1"/>
  <c r="F32" i="9"/>
  <c r="G32" i="9" s="1"/>
  <c r="F40" i="9"/>
  <c r="G40" i="9" s="1"/>
  <c r="F48" i="9"/>
  <c r="G48" i="9" s="1"/>
  <c r="F56" i="9"/>
  <c r="G56" i="9" s="1"/>
  <c r="F9" i="9"/>
  <c r="G9" i="9" s="1"/>
  <c r="F17" i="9"/>
  <c r="G17" i="9" s="1"/>
  <c r="F25" i="9"/>
  <c r="G25" i="9" s="1"/>
  <c r="F33" i="9"/>
  <c r="G33" i="9" s="1"/>
  <c r="F41" i="9"/>
  <c r="G41" i="9" s="1"/>
  <c r="F49" i="9"/>
  <c r="G49" i="9" s="1"/>
  <c r="F3" i="9"/>
  <c r="G3" i="9" s="1"/>
  <c r="F22" i="9"/>
  <c r="G22" i="9" s="1"/>
  <c r="F23" i="9"/>
  <c r="G23" i="9" s="1"/>
  <c r="F37" i="9"/>
  <c r="G37" i="9" s="1"/>
  <c r="F47" i="9"/>
  <c r="G47" i="9" s="1"/>
  <c r="F38" i="9"/>
  <c r="G38" i="9" s="1"/>
  <c r="F50" i="9"/>
  <c r="G50" i="9" s="1"/>
  <c r="F13" i="9"/>
  <c r="G13" i="9" s="1"/>
  <c r="F5" i="9"/>
  <c r="G5" i="9" s="1"/>
  <c r="F31" i="9"/>
  <c r="G31" i="9" s="1"/>
  <c r="F18" i="9"/>
  <c r="G18" i="9" s="1"/>
  <c r="F15" i="9"/>
  <c r="G15" i="9" s="1"/>
  <c r="F46" i="9"/>
  <c r="G46" i="9" s="1"/>
  <c r="F21" i="9"/>
  <c r="G21" i="9" s="1"/>
  <c r="F53" i="9"/>
  <c r="G53" i="9" s="1"/>
  <c r="F54" i="9"/>
  <c r="G54" i="9" s="1"/>
  <c r="F39" i="9"/>
  <c r="G39" i="9" s="1"/>
  <c r="F30" i="9"/>
  <c r="G30" i="9" s="1"/>
  <c r="F42" i="9"/>
  <c r="G42" i="9" s="1"/>
  <c r="F6" i="9"/>
  <c r="G6" i="9" s="1"/>
  <c r="F34" i="9"/>
  <c r="G34" i="9" s="1"/>
  <c r="F7" i="9"/>
  <c r="G7" i="9" s="1"/>
  <c r="F26" i="9"/>
  <c r="G26" i="9" s="1"/>
  <c r="F45" i="9"/>
  <c r="G45" i="9" s="1"/>
  <c r="F10" i="9"/>
  <c r="G10" i="9" s="1"/>
  <c r="F55" i="9"/>
  <c r="G55" i="9" s="1"/>
  <c r="F14" i="9"/>
  <c r="G14" i="9" s="1"/>
  <c r="F29" i="9"/>
  <c r="G29" i="9" s="1"/>
  <c r="N8" i="5"/>
  <c r="R4" i="5"/>
  <c r="N37" i="5"/>
  <c r="N23" i="5"/>
  <c r="N16" i="5"/>
  <c r="N20" i="5"/>
  <c r="N31" i="5"/>
  <c r="N39" i="5"/>
  <c r="N32" i="5"/>
  <c r="N50" i="5"/>
  <c r="R10" i="5"/>
  <c r="I53" i="6"/>
  <c r="J52" i="6"/>
  <c r="R8" i="5"/>
  <c r="N47" i="5"/>
  <c r="N40" i="5"/>
  <c r="N44" i="5"/>
  <c r="N26" i="5"/>
  <c r="N34" i="5"/>
  <c r="N24" i="5"/>
  <c r="N42" i="5"/>
  <c r="R6" i="5"/>
  <c r="N36" i="5"/>
  <c r="N14" i="5"/>
  <c r="N55" i="5"/>
  <c r="N48" i="5"/>
  <c r="N9" i="5"/>
  <c r="N11" i="5"/>
  <c r="N18" i="5"/>
  <c r="N27" i="5"/>
  <c r="N28" i="5"/>
  <c r="Z8" i="4"/>
  <c r="Z10" i="4"/>
  <c r="D7" i="1" s="1"/>
  <c r="Z4" i="4"/>
  <c r="Z6" i="4"/>
  <c r="K9" i="9" l="1"/>
  <c r="K7" i="9"/>
  <c r="D6" i="1" s="1"/>
  <c r="K3" i="9"/>
  <c r="K5" i="9"/>
  <c r="K11" i="9"/>
  <c r="I54" i="6"/>
  <c r="J53" i="6"/>
  <c r="K13" i="9"/>
  <c r="I55" i="6" l="1"/>
  <c r="J54" i="6"/>
  <c r="C14" i="1"/>
  <c r="C16" i="1"/>
  <c r="C13" i="1"/>
  <c r="C19" i="1"/>
  <c r="C21" i="1"/>
  <c r="C15" i="1"/>
  <c r="C20" i="1"/>
  <c r="C22" i="1"/>
  <c r="C18" i="1"/>
  <c r="C17" i="1"/>
  <c r="I56" i="6" l="1"/>
  <c r="J56" i="6" s="1"/>
  <c r="J55" i="6"/>
  <c r="N2" i="6" s="1"/>
  <c r="N10" i="6" l="1"/>
  <c r="D8" i="1" s="1"/>
  <c r="D10" i="1" s="1"/>
  <c r="N4" i="6"/>
  <c r="N8" i="6"/>
  <c r="N6" i="6"/>
  <c r="D22" i="1" l="1"/>
  <c r="D15" i="1"/>
  <c r="E15" i="1" s="1"/>
  <c r="D13" i="1"/>
  <c r="E13" i="1" s="1"/>
  <c r="D16" i="1"/>
  <c r="E16" i="1" s="1"/>
  <c r="D19" i="1"/>
  <c r="E19" i="1" s="1"/>
  <c r="D14" i="1"/>
  <c r="E14" i="1" s="1"/>
  <c r="D17" i="1"/>
  <c r="E17" i="1" s="1"/>
  <c r="D18" i="1"/>
  <c r="E18" i="1" s="1"/>
  <c r="D21" i="1"/>
  <c r="E21" i="1" s="1"/>
  <c r="D20" i="1"/>
  <c r="E20" i="1" s="1"/>
  <c r="D23" i="1" l="1"/>
  <c r="E23" i="1" s="1"/>
  <c r="E22" i="1"/>
  <c r="E2" i="1" l="1"/>
  <c r="E3" i="1" s="1"/>
  <c r="E4" i="1" l="1"/>
</calcChain>
</file>

<file path=xl/sharedStrings.xml><?xml version="1.0" encoding="utf-8"?>
<sst xmlns="http://schemas.openxmlformats.org/spreadsheetml/2006/main" count="247" uniqueCount="166">
  <si>
    <t>Year</t>
  </si>
  <si>
    <t>Earnings Yield</t>
  </si>
  <si>
    <t>Dividend Yield</t>
  </si>
  <si>
    <t>S&amp;P 500</t>
  </si>
  <si>
    <t>Earnings</t>
  </si>
  <si>
    <t>Dividends</t>
  </si>
  <si>
    <t>Payout Ratio</t>
  </si>
  <si>
    <t>Date</t>
  </si>
  <si>
    <t>Price</t>
  </si>
  <si>
    <t>Open</t>
  </si>
  <si>
    <t>High</t>
  </si>
  <si>
    <t>Low</t>
  </si>
  <si>
    <t>Vol.</t>
  </si>
  <si>
    <t>Change %</t>
  </si>
  <si>
    <t>Dividends + Buybacks</t>
  </si>
  <si>
    <t>Implied ERP (FCFE)</t>
  </si>
  <si>
    <t>Industry name</t>
  </si>
  <si>
    <t>Number of firms</t>
  </si>
  <si>
    <t xml:space="preserve">   Dividends  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</si>
  <si>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</si>
  <si>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</si>
  <si>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</si>
  <si>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</si>
  <si>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</si>
  <si>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</si>
  <si>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</si>
  <si>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</si>
  <si>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</si>
  <si>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</si>
  <si>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</si>
  <si>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</si>
  <si>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</si>
  <si>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</si>
  <si>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</si>
  <si>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</si>
  <si>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</si>
  <si>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</si>
  <si>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</si>
  <si>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</si>
  <si>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</si>
  <si>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</si>
  <si>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</si>
  <si>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</si>
  <si>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</si>
  <si>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</si>
  <si>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</si>
  <si>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</si>
  <si>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</si>
  <si>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</si>
  <si>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</si>
  <si>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</si>
  <si>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</si>
  <si>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</si>
  <si>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</si>
  <si>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</si>
  <si>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</si>
  <si>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</si>
  <si>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</si>
  <si>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</si>
  <si>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</si>
  <si>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</si>
  <si>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</si>
  <si>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</si>
  <si>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</si>
  <si>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</si>
  <si>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</si>
  <si>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</si>
  <si>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</si>
  <si>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</si>
  <si>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</si>
  <si>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</si>
  <si>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</si>
  <si>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</si>
  <si>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</si>
  <si>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</si>
  <si>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</si>
  <si>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</si>
  <si>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</si>
  <si>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</si>
  <si>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</si>
  <si>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</si>
  <si>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</si>
  <si>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</si>
  <si>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</si>
  <si>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</si>
  <si>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</si>
  <si>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</si>
  <si>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</si>
  <si>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</si>
  <si>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</si>
  <si>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</si>
  <si>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</si>
  <si>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</si>
  <si>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</si>
  <si>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</si>
  <si>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</si>
  <si>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</si>
  <si>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</si>
  <si>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</si>
  <si>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</si>
  <si>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</si>
  <si>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</si>
  <si>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</si>
  <si>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</si>
  <si>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</si>
  <si>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</si>
  <si>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</si>
  <si>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</si>
  <si>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</si>
  <si>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</si>
  <si>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</si>
  <si>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</si>
  <si>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</si>
  <si>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Total Market</t>
  </si>
  <si>
    <t>Total Market (without financials)</t>
  </si>
  <si>
    <t>buyback</t>
  </si>
  <si>
    <t xml:space="preserve">  Net Income  </t>
  </si>
  <si>
    <t>Payout</t>
  </si>
  <si>
    <t>Mean</t>
  </si>
  <si>
    <t>buyback%dividend</t>
  </si>
  <si>
    <t>Trimmed Mean</t>
  </si>
  <si>
    <t>20 Years</t>
  </si>
  <si>
    <t>Average Implied ERP-</t>
  </si>
  <si>
    <t>15 Years</t>
  </si>
  <si>
    <t>7 Years</t>
  </si>
  <si>
    <t>5 Years</t>
  </si>
  <si>
    <t>Latest</t>
  </si>
  <si>
    <t>10Y Bond Average</t>
  </si>
  <si>
    <t>Average Rate-</t>
  </si>
  <si>
    <t>Monthly Returns</t>
  </si>
  <si>
    <t>S&amp;P Average Range</t>
  </si>
  <si>
    <t>Average Return</t>
  </si>
  <si>
    <t>CAGR S&amp;P500 Return-</t>
  </si>
  <si>
    <t>10 Years</t>
  </si>
  <si>
    <t>Source:</t>
  </si>
  <si>
    <t>Aswath Damodaran</t>
  </si>
  <si>
    <t>P/E Ratio</t>
  </si>
  <si>
    <t>EPS</t>
  </si>
  <si>
    <t>EPS CAGR 3 Years</t>
  </si>
  <si>
    <t>EPS CAGR 5Years</t>
  </si>
  <si>
    <t>EPS CAGR 7Years</t>
  </si>
  <si>
    <t>EPS CAGR 10 Years</t>
  </si>
  <si>
    <t>Average CAGR S&amp;P500 Return-</t>
  </si>
  <si>
    <t>3 Years</t>
  </si>
  <si>
    <t>Dividend Amount</t>
  </si>
  <si>
    <t>BB Amount</t>
  </si>
  <si>
    <t>Total Yield</t>
  </si>
  <si>
    <t>Average Return-</t>
  </si>
  <si>
    <t>Valuation of S&amp;P 500</t>
  </si>
  <si>
    <t>Key inputs</t>
  </si>
  <si>
    <t>Assumptions</t>
  </si>
  <si>
    <t>Current S&amp;P 500 Levels</t>
  </si>
  <si>
    <t>Risk Free Rate</t>
  </si>
  <si>
    <t>Equity Risk Premium</t>
  </si>
  <si>
    <t>Cost of Equity</t>
  </si>
  <si>
    <t>Expected Growth</t>
  </si>
  <si>
    <t>Expected Dividends</t>
  </si>
  <si>
    <t>and Buybacks</t>
  </si>
  <si>
    <t>Cumulative PV Factor (Risk-Free</t>
  </si>
  <si>
    <t>Rate + Equity Risk Premium)</t>
  </si>
  <si>
    <t>Present Value of Expected Dividends and</t>
  </si>
  <si>
    <t>Buybacks</t>
  </si>
  <si>
    <t>EPS Growth</t>
  </si>
  <si>
    <t>RFR</t>
  </si>
  <si>
    <t>ERP</t>
  </si>
  <si>
    <t>Terminal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</si>
</sst>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$-409]#,##0.00"/>
  </numFmts>
  <fonts count="15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8"/>
      <name val="Arial Narrow"/>
      <family val="2"/>
    </font>
    <font>
      <b/>
      <sz val="14"/>
      <color theme="1"/>
      <name val="Arial Narrow"/>
      <family val="2"/>
    </font>
    <font>
      <sz val="14"/>
      <color theme="0"/>
      <name val="Arial Narrow"/>
      <family val="2"/>
    </font>
    <font>
      <b/>
      <i/>
      <sz val="12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1111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D7D7D7"/>
      </left>
      <right style="medium">
        <color rgb="FFFFFFFF"/>
      </right>
      <top style="medium">
        <color rgb="FFD7D7D7"/>
      </top>
      <bottom/>
      <diagonal/>
    </border>
    <border>
      <left/>
      <right style="medium">
        <color rgb="FFD7D7D7"/>
      </right>
      <top style="medium">
        <color rgb="FFD7D7D7"/>
      </top>
      <bottom/>
      <diagonal/>
    </border>
    <border>
      <left style="medium">
        <color rgb="FFD7D7D7"/>
      </left>
      <right style="medium">
        <color rgb="FFFFFFFF"/>
      </right>
      <top/>
      <bottom/>
      <diagonal/>
    </border>
    <border>
      <left style="medium">
        <color rgb="FFEAEAEA"/>
      </left>
      <right style="medium">
        <color rgb="FFD7D7D7"/>
      </right>
      <top/>
      <bottom/>
      <diagonal/>
    </border>
    <border>
      <left style="medium">
        <color rgb="FFD7D7D7"/>
      </left>
      <right style="medium">
        <color rgb="FFFFFFFF"/>
      </right>
      <top/>
      <bottom style="medium">
        <color rgb="FFD7D7D7"/>
      </bottom>
      <diagonal/>
    </border>
    <border>
      <left style="medium">
        <color rgb="FFEAEAEA"/>
      </left>
      <right style="medium">
        <color rgb="FFD7D7D7"/>
      </right>
      <top/>
      <bottom style="medium">
        <color rgb="FFD7D7D7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10" fontId="0" fillId="0" borderId="0" xfId="0" applyNumberFormat="1"/>
    <xf numFmtId="14" fontId="0" fillId="0" borderId="0" xfId="0" applyNumberFormat="1"/>
    <xf numFmtId="10" fontId="0" fillId="0" borderId="0" xfId="1" applyNumberFormat="1" applyFont="1"/>
    <xf numFmtId="1" fontId="0" fillId="0" borderId="0" xfId="0" applyNumberFormat="1"/>
    <xf numFmtId="0" fontId="2" fillId="0" borderId="0" xfId="0" applyFont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0" fontId="2" fillId="0" borderId="0" xfId="1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5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/>
    <xf numFmtId="164" fontId="12" fillId="0" borderId="0" xfId="0" applyNumberFormat="1" applyFont="1"/>
    <xf numFmtId="10" fontId="2" fillId="0" borderId="0" xfId="0" applyNumberFormat="1" applyFont="1"/>
    <xf numFmtId="164" fontId="2" fillId="0" borderId="0" xfId="0" applyNumberFormat="1" applyFont="1"/>
    <xf numFmtId="164" fontId="13" fillId="3" borderId="0" xfId="0" applyNumberFormat="1" applyFont="1" applyFill="1" applyAlignment="1">
      <alignment horizontal="right" vertical="center" wrapText="1"/>
    </xf>
    <xf numFmtId="164" fontId="13" fillId="2" borderId="0" xfId="0" applyNumberFormat="1" applyFont="1" applyFill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164" fontId="13" fillId="3" borderId="6" xfId="0" applyNumberFormat="1" applyFont="1" applyFill="1" applyBorder="1" applyAlignment="1">
      <alignment horizontal="right" vertical="center" wrapText="1"/>
    </xf>
    <xf numFmtId="164" fontId="13" fillId="2" borderId="6" xfId="0" applyNumberFormat="1" applyFont="1" applyFill="1" applyBorder="1" applyAlignment="1">
      <alignment horizontal="right" vertical="center" wrapText="1"/>
    </xf>
    <xf numFmtId="0" fontId="13" fillId="3" borderId="3" xfId="0" applyFont="1" applyFill="1" applyBorder="1" applyAlignment="1">
      <alignment horizontal="right" vertical="center" wrapText="1"/>
    </xf>
    <xf numFmtId="0" fontId="12" fillId="0" borderId="0" xfId="0" applyFont="1"/>
    <xf numFmtId="0" fontId="6" fillId="0" borderId="0" xfId="0" applyFont="1"/>
    <xf numFmtId="0" fontId="13" fillId="2" borderId="5" xfId="0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 wrapText="1"/>
    </xf>
    <xf numFmtId="10" fontId="2" fillId="0" borderId="0" xfId="1" applyNumberFormat="1" applyFont="1"/>
    <xf numFmtId="164" fontId="2" fillId="2" borderId="6" xfId="0" applyNumberFormat="1" applyFont="1" applyFill="1" applyBorder="1"/>
    <xf numFmtId="164" fontId="2" fillId="0" borderId="6" xfId="0" applyNumberFormat="1" applyFont="1" applyBorder="1"/>
    <xf numFmtId="164" fontId="2" fillId="0" borderId="8" xfId="0" applyNumberFormat="1" applyFont="1" applyBorder="1"/>
    <xf numFmtId="0" fontId="13" fillId="3" borderId="7" xfId="0" applyFont="1" applyFill="1" applyBorder="1" applyAlignment="1">
      <alignment horizontal="right" vertical="center" wrapText="1"/>
    </xf>
    <xf numFmtId="0" fontId="5" fillId="5" borderId="0" xfId="0" applyFont="1" applyFill="1" applyAlignment="1">
      <alignment horizontal="center"/>
    </xf>
    <xf numFmtId="10" fontId="2" fillId="6" borderId="0" xfId="0" applyNumberFormat="1" applyFont="1" applyFill="1"/>
    <xf numFmtId="2" fontId="2" fillId="0" borderId="0" xfId="0" applyNumberFormat="1" applyFont="1"/>
    <xf numFmtId="14" fontId="2" fillId="0" borderId="0" xfId="0" applyNumberFormat="1" applyFont="1"/>
    <xf numFmtId="4" fontId="2" fillId="0" borderId="0" xfId="0" applyNumberFormat="1" applyFont="1"/>
    <xf numFmtId="10" fontId="2" fillId="5" borderId="0" xfId="0" applyNumberFormat="1" applyFont="1" applyFill="1"/>
    <xf numFmtId="9" fontId="5" fillId="4" borderId="0" xfId="1" applyFont="1" applyFill="1" applyAlignment="1">
      <alignment horizontal="center"/>
    </xf>
    <xf numFmtId="0" fontId="14" fillId="0" borderId="0" xfId="0" applyFont="1"/>
    <xf numFmtId="0" fontId="2" fillId="0" borderId="0" xfId="0" applyFont="1" applyAlignment="1">
      <alignment wrapText="1"/>
    </xf>
    <xf numFmtId="165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color theme="1"/>
      </font>
      <fill>
        <patternFill>
          <fgColor theme="9" tint="0.39994506668294322"/>
        </patternFill>
      </fill>
    </dxf>
    <dxf>
      <fill>
        <patternFill>
          <fgColor theme="9" tint="0.39994506668294322"/>
        </patternFill>
      </fill>
    </dxf>
    <dxf>
      <font>
        <color theme="1"/>
      </font>
      <fill>
        <patternFill patternType="solid">
          <bgColor theme="9" tint="0.39994506668294322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7" tint="-0.2499465926084170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CC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S&amp;P</a:t>
            </a:r>
            <a:r>
              <a:rPr lang="en-IN" baseline="0"/>
              <a:t> 500 EPS Growth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'S&amp;P500growthEPS'!$R$12:$R$65</c:f>
              <c:numCache>
                <c:formatCode>General</c:formatCode>
                <c:ptCount val="54"/>
                <c:pt idx="0">
                  <c:v>5.2843793262574996</c:v>
                </c:pt>
                <c:pt idx="1">
                  <c:v>5.4244849153789554</c:v>
                </c:pt>
                <c:pt idx="2">
                  <c:v>6.0952248750694045</c:v>
                </c:pt>
                <c:pt idx="3">
                  <c:v>5.8876911737608255</c:v>
                </c:pt>
                <c:pt idx="4">
                  <c:v>6.9770262557077638</c:v>
                </c:pt>
                <c:pt idx="5">
                  <c:v>10.498995983935743</c:v>
                </c:pt>
                <c:pt idx="6">
                  <c:v>8.6964184997179927</c:v>
                </c:pt>
                <c:pt idx="7">
                  <c:v>9.3619916746717884</c:v>
                </c:pt>
                <c:pt idx="8">
                  <c:v>11.527777777777777</c:v>
                </c:pt>
                <c:pt idx="9">
                  <c:v>13.112309644670049</c:v>
                </c:pt>
                <c:pt idx="10">
                  <c:v>16.182904826341908</c:v>
                </c:pt>
                <c:pt idx="11">
                  <c:v>14.174057649667407</c:v>
                </c:pt>
                <c:pt idx="12">
                  <c:v>15.558430357912892</c:v>
                </c:pt>
                <c:pt idx="13">
                  <c:v>14.004790940766551</c:v>
                </c:pt>
                <c:pt idx="14">
                  <c:v>13.917824074074073</c:v>
                </c:pt>
                <c:pt idx="15">
                  <c:v>18.24002574002574</c:v>
                </c:pt>
                <c:pt idx="16">
                  <c:v>16.730275443510735</c:v>
                </c:pt>
                <c:pt idx="17">
                  <c:v>15.880066629650196</c:v>
                </c:pt>
                <c:pt idx="18">
                  <c:v>19.119115549215408</c:v>
                </c:pt>
                <c:pt idx="19">
                  <c:v>27.607163000564015</c:v>
                </c:pt>
                <c:pt idx="20">
                  <c:v>21.98777263714474</c:v>
                </c:pt>
                <c:pt idx="21">
                  <c:v>24.856134636264937</c:v>
                </c:pt>
                <c:pt idx="22">
                  <c:v>16.086257873762694</c:v>
                </c:pt>
                <c:pt idx="23">
                  <c:v>20.153333333333332</c:v>
                </c:pt>
                <c:pt idx="24">
                  <c:v>21.587394564198689</c:v>
                </c:pt>
                <c:pt idx="25">
                  <c:v>36.728229236624124</c:v>
                </c:pt>
                <c:pt idx="26">
                  <c:v>37.325313421828916</c:v>
                </c:pt>
                <c:pt idx="27">
                  <c:v>44.846816862945886</c:v>
                </c:pt>
                <c:pt idx="28">
                  <c:v>44.786263208453413</c:v>
                </c:pt>
                <c:pt idx="29">
                  <c:v>40.418185500202512</c:v>
                </c:pt>
                <c:pt idx="30">
                  <c:v>48.888888888888893</c:v>
                </c:pt>
                <c:pt idx="31">
                  <c:v>43.039927404718689</c:v>
                </c:pt>
                <c:pt idx="32">
                  <c:v>21.411811421558006</c:v>
                </c:pt>
                <c:pt idx="33">
                  <c:v>30.796213808463254</c:v>
                </c:pt>
                <c:pt idx="34">
                  <c:v>49.887813462384514</c:v>
                </c:pt>
                <c:pt idx="35">
                  <c:v>60.418542604635647</c:v>
                </c:pt>
                <c:pt idx="36">
                  <c:v>72.955174322080794</c:v>
                </c:pt>
                <c:pt idx="37">
                  <c:v>85.144009216589851</c:v>
                </c:pt>
                <c:pt idx="38">
                  <c:v>56.627058092575325</c:v>
                </c:pt>
                <c:pt idx="39">
                  <c:v>13.376345602406811</c:v>
                </c:pt>
                <c:pt idx="40">
                  <c:v>54.621980676328505</c:v>
                </c:pt>
                <c:pt idx="41">
                  <c:v>78.573619631901821</c:v>
                </c:pt>
                <c:pt idx="42">
                  <c:v>93.242546514234476</c:v>
                </c:pt>
                <c:pt idx="43">
                  <c:v>97.02241143080839</c:v>
                </c:pt>
                <c:pt idx="44">
                  <c:v>107.13030303030305</c:v>
                </c:pt>
                <c:pt idx="45">
                  <c:v>102.49396436896436</c:v>
                </c:pt>
                <c:pt idx="46">
                  <c:v>94.942666065524506</c:v>
                </c:pt>
                <c:pt idx="47">
                  <c:v>104.50190758796101</c:v>
                </c:pt>
                <c:pt idx="48">
                  <c:v>109.66743425443867</c:v>
                </c:pt>
                <c:pt idx="49">
                  <c:v>149.89600340136053</c:v>
                </c:pt>
                <c:pt idx="50">
                  <c:v>129.29880091103965</c:v>
                </c:pt>
                <c:pt idx="51">
                  <c:v>118.98660548757879</c:v>
                </c:pt>
                <c:pt idx="52">
                  <c:v>176.44547814798793</c:v>
                </c:pt>
                <c:pt idx="53">
                  <c:v>189.42393368390307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1-4B19-91D2-48CF798F3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610000"/>
        <c:axId val="1896608080"/>
      </c:lineChart>
      <c:catAx>
        <c:axId val="189661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08080"/>
        <c:crosses val="autoZero"/>
        <c:auto val="1"/>
        <c:lblAlgn val="ctr"/>
        <c:lblOffset val="100"/>
        <c:noMultiLvlLbl val="0"/>
      </c:catAx>
      <c:valAx>
        <c:axId val="18966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61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Historical</a:t>
            </a:r>
            <a:r>
              <a:rPr lang="en-IN" baseline="0"/>
              <a:t> Dividend And Buyback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'ExpectedDiv&amp;BB'!$B$3:$B$56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cat>
          <c:val>
            <c:numRef>
              <c:f>'ExpectedDiv&amp;BB'!$E$3:$E$56</c:f>
              <c:numCache>
                <c:formatCode>0.00</c:formatCode>
                <c:ptCount val="54"/>
                <c:pt idx="0">
                  <c:v>2.8815509090909095</c:v>
                </c:pt>
                <c:pt idx="1">
                  <c:v>3.0470416666666669</c:v>
                </c:pt>
                <c:pt idx="2">
                  <c:v>2.9639249999999997</c:v>
                </c:pt>
                <c:pt idx="3">
                  <c:v>3.9408083333333335</c:v>
                </c:pt>
                <c:pt idx="4">
                  <c:v>4.4249975000000008</c:v>
                </c:pt>
                <c:pt idx="5">
                  <c:v>3.6076649999999999</c:v>
                </c:pt>
                <c:pt idx="6">
                  <c:v>4.0397125000000003</c:v>
                </c:pt>
                <c:pt idx="7">
                  <c:v>4.9801208333333324</c:v>
                </c:pt>
                <c:pt idx="8">
                  <c:v>5.144755</c:v>
                </c:pt>
                <c:pt idx="9">
                  <c:v>5.7138724999999999</c:v>
                </c:pt>
                <c:pt idx="10">
                  <c:v>5.6686450000000006</c:v>
                </c:pt>
                <c:pt idx="11">
                  <c:v>7.121245</c:v>
                </c:pt>
                <c:pt idx="12">
                  <c:v>5.9291466666666661</c:v>
                </c:pt>
                <c:pt idx="13">
                  <c:v>6.9454800000000008</c:v>
                </c:pt>
                <c:pt idx="14">
                  <c:v>7.5035999999999996</c:v>
                </c:pt>
                <c:pt idx="15">
                  <c:v>7.3319066666666668</c:v>
                </c:pt>
                <c:pt idx="16">
                  <c:v>8.0751016666666651</c:v>
                </c:pt>
                <c:pt idx="17">
                  <c:v>10.610600000000002</c:v>
                </c:pt>
                <c:pt idx="18">
                  <c:v>9.8642400000000006</c:v>
                </c:pt>
                <c:pt idx="19">
                  <c:v>10.833713333333334</c:v>
                </c:pt>
                <c:pt idx="20">
                  <c:v>12.442044999999998</c:v>
                </c:pt>
                <c:pt idx="21">
                  <c:v>11.865945833333335</c:v>
                </c:pt>
                <c:pt idx="22">
                  <c:v>12.096383333333332</c:v>
                </c:pt>
                <c:pt idx="23">
                  <c:v>12.333839999999999</c:v>
                </c:pt>
                <c:pt idx="24">
                  <c:v>13.405642500000001</c:v>
                </c:pt>
                <c:pt idx="25">
                  <c:v>12.578316666666664</c:v>
                </c:pt>
                <c:pt idx="26">
                  <c:v>13.564317500000001</c:v>
                </c:pt>
                <c:pt idx="27">
                  <c:v>14.013733333333333</c:v>
                </c:pt>
                <c:pt idx="28">
                  <c:v>14.359730000000001</c:v>
                </c:pt>
                <c:pt idx="29">
                  <c:v>15.168460000000003</c:v>
                </c:pt>
                <c:pt idx="30">
                  <c:v>17.462720000000001</c:v>
                </c:pt>
                <c:pt idx="31">
                  <c:v>16.244775000000001</c:v>
                </c:pt>
                <c:pt idx="32">
                  <c:v>17.893358333333332</c:v>
                </c:pt>
                <c:pt idx="33">
                  <c:v>15.5835925</c:v>
                </c:pt>
                <c:pt idx="34">
                  <c:v>17.803014999999998</c:v>
                </c:pt>
                <c:pt idx="35">
                  <c:v>21.619023333333327</c:v>
                </c:pt>
                <c:pt idx="36">
                  <c:v>23.333909999999999</c:v>
                </c:pt>
                <c:pt idx="37">
                  <c:v>28.379519999999992</c:v>
                </c:pt>
                <c:pt idx="38">
                  <c:v>38.279324999999993</c:v>
                </c:pt>
                <c:pt idx="39">
                  <c:v>18.685778333333335</c:v>
                </c:pt>
                <c:pt idx="40">
                  <c:v>20.352149999999998</c:v>
                </c:pt>
                <c:pt idx="41">
                  <c:v>27.023824999999995</c:v>
                </c:pt>
                <c:pt idx="42">
                  <c:v>30.364715</c:v>
                </c:pt>
                <c:pt idx="43">
                  <c:v>31.228312500000005</c:v>
                </c:pt>
                <c:pt idx="44">
                  <c:v>37.332768000000002</c:v>
                </c:pt>
                <c:pt idx="45">
                  <c:v>43.500898333333325</c:v>
                </c:pt>
                <c:pt idx="46">
                  <c:v>42.958898000000005</c:v>
                </c:pt>
                <c:pt idx="47">
                  <c:v>45.113160000000008</c:v>
                </c:pt>
                <c:pt idx="48">
                  <c:v>58.601670833333337</c:v>
                </c:pt>
                <c:pt idx="49">
                  <c:v>53.470902333333335</c:v>
                </c:pt>
                <c:pt idx="50">
                  <c:v>48.576007916666661</c:v>
                </c:pt>
                <c:pt idx="51">
                  <c:v>53.056603333333328</c:v>
                </c:pt>
                <c:pt idx="52">
                  <c:v>72.582259000000022</c:v>
                </c:pt>
                <c:pt idx="53">
                  <c:v>63.543016250000015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2D-4C0D-962B-9D81D277AF5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96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1"/>
            <c:marker>
              <c:symbol val="circle"/>
              <c:size val="5"/>
              <c:spPr>
                <a:solidFill>
                  <a:schemeClr val="accent1">
                    <a:alpha val="96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82D-4C0D-962B-9D81D277AF52}"/>
              </c:ext>
            </c:extLst>
          </c:dPt>
          <c:cat>
            <c:numRef>
              <c:f>'ExpectedDiv&amp;BB'!$B$3:$B$56</c:f>
              <c:numCache>
                <c:formatCode>General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cat>
          <c:val>
            <c:numRef>
              <c:f>'ExpectedDiv&amp;BB'!$F$3:$F$56</c:f>
              <c:numCache>
                <c:formatCode>0.00</c:formatCode>
                <c:ptCount val="54"/>
                <c:pt idx="0">
                  <c:v>3.9482937678822649</c:v>
                </c:pt>
                <c:pt idx="1">
                  <c:v>4.1750487853685323</c:v>
                </c:pt>
                <c:pt idx="2">
                  <c:v>4.0611625389129093</c:v>
                </c:pt>
                <c:pt idx="3">
                  <c:v>5.3996856116025729</c:v>
                </c:pt>
                <c:pt idx="4">
                  <c:v>6.0631203832024374</c:v>
                </c:pt>
                <c:pt idx="5">
                  <c:v>4.9432134588247827</c:v>
                </c:pt>
                <c:pt idx="6">
                  <c:v>5.5352038506298982</c:v>
                </c:pt>
                <c:pt idx="7">
                  <c:v>6.823748970568781</c:v>
                </c:pt>
                <c:pt idx="8">
                  <c:v>7.0493302893578242</c:v>
                </c:pt>
                <c:pt idx="9">
                  <c:v>7.8291336484980754</c:v>
                </c:pt>
                <c:pt idx="10">
                  <c:v>7.7671630423833182</c:v>
                </c:pt>
                <c:pt idx="11">
                  <c:v>9.7575118886007122</c:v>
                </c:pt>
                <c:pt idx="12">
                  <c:v>8.1241017672130766</c:v>
                </c:pt>
                <c:pt idx="13">
                  <c:v>9.51667913012942</c:v>
                </c:pt>
                <c:pt idx="14">
                  <c:v>10.281413742583537</c:v>
                </c:pt>
                <c:pt idx="15">
                  <c:v>10.046159971481226</c:v>
                </c:pt>
                <c:pt idx="16">
                  <c:v>11.064483880860639</c:v>
                </c:pt>
                <c:pt idx="17">
                  <c:v>14.538617284644291</c:v>
                </c:pt>
                <c:pt idx="18">
                  <c:v>13.515956700269504</c:v>
                </c:pt>
                <c:pt idx="19">
                  <c:v>14.844326609699857</c:v>
                </c:pt>
                <c:pt idx="20">
                  <c:v>17.048058591721677</c:v>
                </c:pt>
                <c:pt idx="21">
                  <c:v>16.258688970572155</c:v>
                </c:pt>
                <c:pt idx="22">
                  <c:v>16.574433850270776</c:v>
                </c:pt>
                <c:pt idx="23">
                  <c:v>16.899796374383833</c:v>
                </c:pt>
                <c:pt idx="24">
                  <c:v>18.36837744917932</c:v>
                </c:pt>
                <c:pt idx="25">
                  <c:v>17.23477768474255</c:v>
                </c:pt>
                <c:pt idx="26">
                  <c:v>18.585793532873073</c:v>
                </c:pt>
                <c:pt idx="27">
                  <c:v>19.201581971085126</c:v>
                </c:pt>
                <c:pt idx="28">
                  <c:v>19.675665728688777</c:v>
                </c:pt>
                <c:pt idx="29">
                  <c:v>20.783785529323087</c:v>
                </c:pt>
                <c:pt idx="30">
                  <c:v>23.927374778891252</c:v>
                </c:pt>
                <c:pt idx="31">
                  <c:v>22.258549620205969</c:v>
                </c:pt>
                <c:pt idx="32">
                  <c:v>24.517434334093632</c:v>
                </c:pt>
                <c:pt idx="33">
                  <c:v>21.352599030908063</c:v>
                </c:pt>
                <c:pt idx="34">
                  <c:v>24.393646127248367</c:v>
                </c:pt>
                <c:pt idx="35">
                  <c:v>29.622331094483641</c:v>
                </c:pt>
                <c:pt idx="36">
                  <c:v>31.972064468016345</c:v>
                </c:pt>
                <c:pt idx="37">
                  <c:v>38.885546529122593</c:v>
                </c:pt>
                <c:pt idx="38">
                  <c:v>52.450234302444365</c:v>
                </c:pt>
                <c:pt idx="39">
                  <c:v>25.6032062139777</c:v>
                </c:pt>
                <c:pt idx="40">
                  <c:v>27.886464457210078</c:v>
                </c:pt>
                <c:pt idx="41">
                  <c:v>37.027976668821971</c:v>
                </c:pt>
                <c:pt idx="42">
                  <c:v>41.605655697349604</c:v>
                </c:pt>
                <c:pt idx="43">
                  <c:v>42.788954807718071</c:v>
                </c:pt>
                <c:pt idx="44">
                  <c:v>51.153264294989469</c:v>
                </c:pt>
                <c:pt idx="45">
                  <c:v>59.604820877853641</c:v>
                </c:pt>
                <c:pt idx="46">
                  <c:v>58.862173391897826</c:v>
                </c:pt>
                <c:pt idx="47">
                  <c:v>61.813937735936086</c:v>
                </c:pt>
                <c:pt idx="48">
                  <c:v>80.295861165865759</c:v>
                </c:pt>
                <c:pt idx="49">
                  <c:v>73.265695143434556</c:v>
                </c:pt>
                <c:pt idx="50">
                  <c:v>66.558723193435597</c:v>
                </c:pt>
                <c:pt idx="51">
                  <c:v>72.698023701441556</c:v>
                </c:pt>
                <c:pt idx="52">
                  <c:v>99.452027713411951</c:v>
                </c:pt>
                <c:pt idx="53">
                  <c:v>87.066480158585108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2D-4C0D-962B-9D81D277A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590464"/>
        <c:axId val="1764590944"/>
      </c:lineChart>
      <c:catAx>
        <c:axId val="17645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590944"/>
        <c:crosses val="autoZero"/>
        <c:auto val="1"/>
        <c:lblAlgn val="ctr"/>
        <c:lblOffset val="100"/>
        <c:noMultiLvlLbl val="0"/>
      </c:catAx>
      <c:valAx>
        <c:axId val="17645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5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10Y Bond Average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 yr Govt Bond yield'!$J$2</c:f>
              <c:strCache>
                <c:ptCount val="1"/>
                <c:pt idx="0">
                  <c:v>10Y Bond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 yr Govt Bond yield'!$I$3:$I$56</c:f>
              <c:numCache>
                <c:formatCode>0</c:formatCode>
                <c:ptCount val="5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</c:numCache>
            </c:numRef>
          </c:cat>
          <c:val>
            <c:numRef>
              <c:f>'10 yr Govt Bond yield'!$J$3:$J$56</c:f>
              <c:numCache>
                <c:formatCode>0.00%</c:formatCode>
                <c:ptCount val="54"/>
                <c:pt idx="0">
                  <c:v>7.3081818181818192E-2</c:v>
                </c:pt>
                <c:pt idx="1">
                  <c:v>6.1591666666666663E-2</c:v>
                </c:pt>
                <c:pt idx="2">
                  <c:v>6.2099999999999995E-2</c:v>
                </c:pt>
                <c:pt idx="3">
                  <c:v>6.8425E-2</c:v>
                </c:pt>
                <c:pt idx="4">
                  <c:v>7.5575000000000003E-2</c:v>
                </c:pt>
                <c:pt idx="5">
                  <c:v>7.9875000000000002E-2</c:v>
                </c:pt>
                <c:pt idx="6">
                  <c:v>7.6116666666666666E-2</c:v>
                </c:pt>
                <c:pt idx="7">
                  <c:v>7.419166666666667E-2</c:v>
                </c:pt>
                <c:pt idx="8">
                  <c:v>8.4100000000000022E-2</c:v>
                </c:pt>
                <c:pt idx="9">
                  <c:v>9.4424999999999995E-2</c:v>
                </c:pt>
                <c:pt idx="10">
                  <c:v>0.11413583333333333</c:v>
                </c:pt>
                <c:pt idx="11">
                  <c:v>0.14012916666666667</c:v>
                </c:pt>
                <c:pt idx="12">
                  <c:v>0.12948250000000003</c:v>
                </c:pt>
                <c:pt idx="13">
                  <c:v>0.11136916666666667</c:v>
                </c:pt>
                <c:pt idx="14">
                  <c:v>0.12481333333333335</c:v>
                </c:pt>
                <c:pt idx="15">
                  <c:v>0.10533583333333334</c:v>
                </c:pt>
                <c:pt idx="16">
                  <c:v>7.5632500000000005E-2</c:v>
                </c:pt>
                <c:pt idx="17">
                  <c:v>8.3972500000000005E-2</c:v>
                </c:pt>
                <c:pt idx="18">
                  <c:v>8.8300833333333328E-2</c:v>
                </c:pt>
                <c:pt idx="19">
                  <c:v>8.4510833333333327E-2</c:v>
                </c:pt>
                <c:pt idx="20">
                  <c:v>8.5555833333333331E-2</c:v>
                </c:pt>
                <c:pt idx="21">
                  <c:v>7.7799166666666669E-2</c:v>
                </c:pt>
                <c:pt idx="22">
                  <c:v>7.0122500000000004E-2</c:v>
                </c:pt>
                <c:pt idx="23">
                  <c:v>5.8290000000000002E-2</c:v>
                </c:pt>
                <c:pt idx="24">
                  <c:v>7.1234999999999993E-2</c:v>
                </c:pt>
                <c:pt idx="25">
                  <c:v>6.4805000000000001E-2</c:v>
                </c:pt>
                <c:pt idx="26">
                  <c:v>6.4599999999999991E-2</c:v>
                </c:pt>
                <c:pt idx="27">
                  <c:v>6.3130000000000006E-2</c:v>
                </c:pt>
                <c:pt idx="28">
                  <c:v>5.2140833333333331E-2</c:v>
                </c:pt>
                <c:pt idx="29">
                  <c:v>5.6967500000000004E-2</c:v>
                </c:pt>
                <c:pt idx="30">
                  <c:v>5.9609166666666678E-2</c:v>
                </c:pt>
                <c:pt idx="31">
                  <c:v>4.9639999999999997E-2</c:v>
                </c:pt>
                <c:pt idx="32">
                  <c:v>4.5318333333333342E-2</c:v>
                </c:pt>
                <c:pt idx="33">
                  <c:v>3.9910833333333333E-2</c:v>
                </c:pt>
                <c:pt idx="34">
                  <c:v>4.2634166666666667E-2</c:v>
                </c:pt>
                <c:pt idx="35">
                  <c:v>4.2649166666666662E-2</c:v>
                </c:pt>
                <c:pt idx="36">
                  <c:v>4.7810833333333337E-2</c:v>
                </c:pt>
                <c:pt idx="37">
                  <c:v>4.5747499999999997E-2</c:v>
                </c:pt>
                <c:pt idx="38">
                  <c:v>3.5862499999999999E-2</c:v>
                </c:pt>
                <c:pt idx="39">
                  <c:v>3.272333333333334E-2</c:v>
                </c:pt>
                <c:pt idx="40">
                  <c:v>3.1260000000000003E-2</c:v>
                </c:pt>
                <c:pt idx="41">
                  <c:v>2.7319166666666672E-2</c:v>
                </c:pt>
                <c:pt idx="42">
                  <c:v>1.7355000000000002E-2</c:v>
                </c:pt>
                <c:pt idx="43">
                  <c:v>2.3605000000000001E-2</c:v>
                </c:pt>
                <c:pt idx="44">
                  <c:v>2.4787500000000004E-2</c:v>
                </c:pt>
                <c:pt idx="45">
                  <c:v>2.0940833333333329E-2</c:v>
                </c:pt>
                <c:pt idx="46">
                  <c:v>1.8233333333333334E-2</c:v>
                </c:pt>
                <c:pt idx="47">
                  <c:v>2.3337500000000001E-2</c:v>
                </c:pt>
                <c:pt idx="48">
                  <c:v>2.8923333333333339E-2</c:v>
                </c:pt>
                <c:pt idx="49">
                  <c:v>2.0796666666666668E-2</c:v>
                </c:pt>
                <c:pt idx="50">
                  <c:v>8.2083333333333331E-3</c:v>
                </c:pt>
                <c:pt idx="51">
                  <c:v>1.45425E-2</c:v>
                </c:pt>
                <c:pt idx="52">
                  <c:v>2.9981666666666667E-2</c:v>
                </c:pt>
                <c:pt idx="53">
                  <c:v>3.9670833333333329E-2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0-4623-8A8A-4DD54B0E9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8972512"/>
        <c:axId val="1898978752"/>
      </c:lineChart>
      <c:catAx>
        <c:axId val="18989725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978752"/>
        <c:crosses val="autoZero"/>
        <c:auto val="1"/>
        <c:lblAlgn val="ctr"/>
        <c:lblOffset val="100"/>
        <c:noMultiLvlLbl val="0"/>
      </c:catAx>
      <c:valAx>
        <c:axId val="189897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9725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552450</xdr:colOff>
      <xdr:row>11</xdr:row>
      <xdr:rowOff>171450</xdr:rowOff>
    </xdr:from>
    <xdr:to>
      <xdr:col>29</xdr:col>
      <xdr:colOff>520700</xdr:colOff>
      <xdr:row>27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F885E-9996-4229-A2BF-0C54D4CDD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14</xdr:row>
      <xdr:rowOff>101600</xdr:rowOff>
    </xdr:from>
    <xdr:to>
      <xdr:col>15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70760A-9556-ACA7-DE9A-80B5023C6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908050</xdr:colOff>
      <xdr:row>11</xdr:row>
      <xdr:rowOff>82550</xdr:rowOff>
    </xdr:from>
    <xdr:to>
      <xdr:col>18</xdr:col>
      <xdr:colOff>438150</xdr:colOff>
      <xdr:row>26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C71ABB-7185-08D7-9655-1D2D53303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F654-0001-44E9-8B04-F9ADA4941A01}">
  <sheetPr>
    <tabColor rgb="FF002060"/>
  </sheetPr>
  <dimension ref="B2:L23"/>
  <sheetViews>
    <sheetView showGridLines="0" tabSelected="1" topLeftCell="C3" zoomScale="71" workbookViewId="0">
      <selection activeCell="J31" sqref="J31"/>
    </sheetView>
  </sheetViews>
  <sheetFormatPr defaultRowHeight="14" x14ac:dyDescent="0.3"/>
  <cols>
    <col min="1" max="1" width="1.8984375" customWidth="1"/>
    <col min="2" max="2" width="28.09765625" customWidth="1"/>
    <col min="3" max="3" width="21.296875" customWidth="1"/>
    <col min="4" max="4" width="32.69921875" customWidth="1"/>
    <col min="5" max="5" width="58.5" customWidth="1"/>
    <col min="9" max="9" width="12.3984375" customWidth="1"/>
    <col min="10" max="10" width="11.8984375" customWidth="1"/>
  </cols>
  <sheetData>
    <row r="2" spans="2:12" ht="23.5" x14ac:dyDescent="0.55000000000000004">
      <c r="B2" s="6"/>
      <c r="C2" s="7" t="s">
        <v>148</v>
      </c>
      <c r="D2" s="6"/>
      <c r="E2" s="17">
        <f>IF(OR(C5="",C6="",C7="",C9="",C8=""),"Provide Correct Input",SUM(E13:E23))</f>
        <v>2608.3150168569218</v>
      </c>
      <c r="I2" s="12" t="s">
        <v>146</v>
      </c>
      <c r="J2" s="12" t="s">
        <v>162</v>
      </c>
      <c r="K2" s="12" t="s">
        <v>163</v>
      </c>
      <c r="L2" s="12" t="s">
        <v>164</v>
      </c>
    </row>
    <row r="3" spans="2:12" ht="18" x14ac:dyDescent="0.4">
      <c r="B3" s="8" t="s">
        <v>149</v>
      </c>
      <c r="C3" s="6"/>
      <c r="D3" s="8" t="s">
        <v>150</v>
      </c>
      <c r="E3" s="18" t="str">
        <f>IF(OR(C5="",C6="",C7="",C9="",C8=""),"Provide Correct Input",IF(E2&gt;1.02*C5,"Undervalued",IF(E2&lt;0.98*D5,"Overvalued","Fairly Valued")))</f>
        <v>Overvalued</v>
      </c>
      <c r="I3" t="s">
        <v>121</v>
      </c>
      <c r="J3" t="s">
        <v>143</v>
      </c>
      <c r="K3" t="s">
        <v>121</v>
      </c>
      <c r="L3" t="s">
        <v>121</v>
      </c>
    </row>
    <row r="4" spans="2:12" ht="43.5" x14ac:dyDescent="0.35">
      <c r="B4" s="10" t="s">
        <v>7</v>
      </c>
      <c r="C4" s="11">
        <f ca="1">TODAY()</f>
        <v>45540</v>
      </c>
      <c r="D4" s="11">
        <f ca="1">TODAY()</f>
        <v>45540</v>
      </c>
      <c r="E4" s="47" t="str">
        <f>IF(OR(C5="",C6="",C7="",C9="",C8=""),"Provide Correct Input","The Market implied fair value of S&amp;P 500 index is" &amp; ROUNDUP(E2,0)&amp;". The current market value of the S&amp;P 500 index is" &amp;ROUNDUP(D5,0)&amp;". A "&amp;TEXT(ABS((E2-C5)/C5),"0.00%")&amp; " "&amp;IF(E3="Overvalued","Appreciation",IF(E3="Undervalued","Correction","Adjustment")&amp;"Expected from this level."))</f>
        <v>The Market implied fair value of S&amp;P 500 index is2609. The current market value of the S&amp;P 500 index is5598. A 53.40% Appreciation</v>
      </c>
      <c r="I4" t="s">
        <v>123</v>
      </c>
      <c r="J4" t="s">
        <v>125</v>
      </c>
      <c r="K4" t="s">
        <v>123</v>
      </c>
      <c r="L4" t="s">
        <v>123</v>
      </c>
    </row>
    <row r="5" spans="2:12" ht="14.5" x14ac:dyDescent="0.35">
      <c r="B5" s="10" t="s">
        <v>151</v>
      </c>
      <c r="C5" s="13">
        <v>5597.12</v>
      </c>
      <c r="D5" s="12">
        <v>5597.12</v>
      </c>
      <c r="E5" s="5"/>
      <c r="I5" t="s">
        <v>133</v>
      </c>
      <c r="J5" t="s">
        <v>124</v>
      </c>
      <c r="K5" t="s">
        <v>124</v>
      </c>
      <c r="L5" t="s">
        <v>124</v>
      </c>
    </row>
    <row r="6" spans="2:12" ht="14.5" x14ac:dyDescent="0.35">
      <c r="B6" s="10" t="s">
        <v>146</v>
      </c>
      <c r="C6" s="13" t="s">
        <v>133</v>
      </c>
      <c r="D6" s="14">
        <f>VLOOKUP(C6,'ExpectedDiv&amp;BB'!J3:L13,2,0)</f>
        <v>4.2355428804836059E-2</v>
      </c>
      <c r="E6" s="5"/>
      <c r="I6" t="s">
        <v>124</v>
      </c>
      <c r="J6" t="s">
        <v>133</v>
      </c>
      <c r="K6" t="s">
        <v>125</v>
      </c>
      <c r="L6" t="s">
        <v>125</v>
      </c>
    </row>
    <row r="7" spans="2:12" ht="14.5" x14ac:dyDescent="0.35">
      <c r="B7" s="10" t="s">
        <v>155</v>
      </c>
      <c r="C7" s="13" t="s">
        <v>133</v>
      </c>
      <c r="D7" s="14">
        <f>VLOOKUP(C7,'S&amp;P500growthEPS'!Y4:Z10,2,0)</f>
        <v>6.5979144806418047E-2</v>
      </c>
      <c r="E7" s="5"/>
      <c r="I7" t="s">
        <v>125</v>
      </c>
      <c r="K7" t="s">
        <v>126</v>
      </c>
      <c r="L7" t="s">
        <v>126</v>
      </c>
    </row>
    <row r="8" spans="2:12" ht="14.5" x14ac:dyDescent="0.35">
      <c r="B8" s="10" t="s">
        <v>152</v>
      </c>
      <c r="C8" s="13" t="s">
        <v>126</v>
      </c>
      <c r="D8" s="14">
        <f>VLOOKUP(C8,'10 yr Govt Bond yield'!M2:N10,2,0)</f>
        <v>3.9670833333333329E-2</v>
      </c>
      <c r="E8" s="5"/>
      <c r="I8" t="s">
        <v>143</v>
      </c>
    </row>
    <row r="9" spans="2:12" ht="14.5" x14ac:dyDescent="0.35">
      <c r="B9" s="10" t="s">
        <v>153</v>
      </c>
      <c r="C9" s="13" t="s">
        <v>126</v>
      </c>
      <c r="D9" s="14">
        <f>VLOOKUP(C9,ERPHistoricals!G3:H11,2,0)</f>
        <v>4.5999999999999999E-2</v>
      </c>
      <c r="E9" s="5"/>
    </row>
    <row r="10" spans="2:12" ht="14.5" x14ac:dyDescent="0.35">
      <c r="B10" s="10" t="s">
        <v>154</v>
      </c>
      <c r="C10" s="12"/>
      <c r="D10" s="15">
        <f>D9+D8</f>
        <v>8.5670833333333335E-2</v>
      </c>
      <c r="E10" s="5"/>
    </row>
    <row r="11" spans="2:12" ht="14.5" x14ac:dyDescent="0.35">
      <c r="B11" s="6"/>
      <c r="C11" s="8" t="s">
        <v>156</v>
      </c>
      <c r="D11" s="8" t="s">
        <v>158</v>
      </c>
      <c r="E11" s="8" t="s">
        <v>160</v>
      </c>
    </row>
    <row r="12" spans="2:12" ht="14.5" x14ac:dyDescent="0.35">
      <c r="B12" s="9" t="s">
        <v>0</v>
      </c>
      <c r="C12" s="8" t="s">
        <v>157</v>
      </c>
      <c r="D12" s="8" t="s">
        <v>159</v>
      </c>
      <c r="E12" s="8" t="s">
        <v>161</v>
      </c>
    </row>
    <row r="13" spans="2:12" ht="14.5" x14ac:dyDescent="0.35">
      <c r="B13" s="12">
        <v>2023</v>
      </c>
      <c r="C13" s="16">
        <f>$D$5*$D$6+(1+$D$7)^(B13-($B$13-1))</f>
        <v>238.13439681693043</v>
      </c>
      <c r="D13">
        <f>1/((1+$D$10)^(B13-($B$13-1)))</f>
        <v>0.9210894953580927</v>
      </c>
      <c r="E13" s="48">
        <f>C13*D13</f>
        <v>219.34309139151026</v>
      </c>
    </row>
    <row r="14" spans="2:12" ht="14.5" x14ac:dyDescent="0.35">
      <c r="B14" s="12">
        <f>B13+1</f>
        <v>2024</v>
      </c>
      <c r="C14" s="16">
        <f t="shared" ref="C14:C22" si="0">$D$5*$D$6+(1+$D$7)^(B14-($B$13-1))</f>
        <v>238.20472920928623</v>
      </c>
      <c r="D14">
        <f t="shared" ref="D14:D22" si="1">1/((1+$D$10)^(B14-($B$13-1)))</f>
        <v>0.84840585845902594</v>
      </c>
      <c r="E14" s="48">
        <f t="shared" ref="E14:E23" si="2">C14*D14</f>
        <v>202.0942877738043</v>
      </c>
    </row>
    <row r="15" spans="2:12" ht="14.5" x14ac:dyDescent="0.35">
      <c r="B15" s="12">
        <f t="shared" ref="B15:B22" si="3">B14+1</f>
        <v>2025</v>
      </c>
      <c r="C15" s="16">
        <f t="shared" si="0"/>
        <v>238.27970207274186</v>
      </c>
      <c r="D15">
        <f t="shared" si="1"/>
        <v>0.78145772402687363</v>
      </c>
      <c r="E15" s="48">
        <f t="shared" si="2"/>
        <v>186.20551366356636</v>
      </c>
    </row>
    <row r="16" spans="2:12" ht="14.5" x14ac:dyDescent="0.35">
      <c r="B16" s="12">
        <f t="shared" si="3"/>
        <v>2026</v>
      </c>
      <c r="C16" s="16">
        <f t="shared" si="0"/>
        <v>238.35962158161198</v>
      </c>
      <c r="D16">
        <f t="shared" si="1"/>
        <v>0.71979250066759681</v>
      </c>
      <c r="E16" s="48">
        <f t="shared" si="2"/>
        <v>171.56946807641057</v>
      </c>
    </row>
    <row r="17" spans="2:5" ht="14.5" x14ac:dyDescent="0.35">
      <c r="B17" s="12">
        <f t="shared" si="3"/>
        <v>2027</v>
      </c>
      <c r="C17" s="16">
        <f t="shared" si="0"/>
        <v>238.44481411133071</v>
      </c>
      <c r="D17">
        <f t="shared" si="1"/>
        <v>0.6629933112024563</v>
      </c>
      <c r="E17" s="48">
        <f t="shared" si="2"/>
        <v>158.08731684672532</v>
      </c>
    </row>
    <row r="18" spans="2:5" ht="14.5" x14ac:dyDescent="0.35">
      <c r="B18" s="12">
        <f t="shared" si="3"/>
        <v>2028</v>
      </c>
      <c r="C18" s="16">
        <f t="shared" si="0"/>
        <v>238.53562757130416</v>
      </c>
      <c r="D18">
        <f t="shared" si="1"/>
        <v>0.61067617444126143</v>
      </c>
      <c r="E18" s="48">
        <f t="shared" si="2"/>
        <v>145.66802451318952</v>
      </c>
    </row>
    <row r="19" spans="2:5" ht="14.5" x14ac:dyDescent="0.35">
      <c r="B19" s="12">
        <f t="shared" si="3"/>
        <v>2029</v>
      </c>
      <c r="C19" s="16">
        <f t="shared" si="0"/>
        <v>238.63243282570357</v>
      </c>
      <c r="D19">
        <f t="shared" si="1"/>
        <v>0.56248740934331209</v>
      </c>
      <c r="E19" s="48">
        <f t="shared" si="2"/>
        <v>134.22773892542196</v>
      </c>
    </row>
    <row r="20" spans="2:5" ht="14.5" x14ac:dyDescent="0.35">
      <c r="B20" s="12">
        <f t="shared" si="3"/>
        <v>2030</v>
      </c>
      <c r="C20" s="16">
        <f t="shared" si="0"/>
        <v>238.73562520800104</v>
      </c>
      <c r="D20">
        <f t="shared" si="1"/>
        <v>0.51810124401731239</v>
      </c>
      <c r="E20" s="48">
        <f t="shared" si="2"/>
        <v>123.68922441151618</v>
      </c>
    </row>
    <row r="21" spans="2:5" ht="14.5" x14ac:dyDescent="0.35">
      <c r="B21" s="12">
        <f>B20+1</f>
        <v>2031</v>
      </c>
      <c r="C21" s="16">
        <f t="shared" si="0"/>
        <v>238.84562613543301</v>
      </c>
      <c r="D21">
        <f t="shared" si="1"/>
        <v>0.47721761339630625</v>
      </c>
      <c r="E21" s="48">
        <f t="shared" si="2"/>
        <v>113.98133967449778</v>
      </c>
    </row>
    <row r="22" spans="2:5" ht="14.5" x14ac:dyDescent="0.35">
      <c r="B22" s="12">
        <f t="shared" si="3"/>
        <v>2032</v>
      </c>
      <c r="C22" s="16">
        <f t="shared" si="0"/>
        <v>238.96288482998489</v>
      </c>
      <c r="D22">
        <f t="shared" si="1"/>
        <v>0.43956013069919714</v>
      </c>
      <c r="E22" s="48">
        <f t="shared" si="2"/>
        <v>105.03855688812536</v>
      </c>
    </row>
    <row r="23" spans="2:5" ht="14.5" x14ac:dyDescent="0.35">
      <c r="B23" s="12" t="s">
        <v>165</v>
      </c>
      <c r="C23" s="16">
        <f>SUM(C13:C22)</f>
        <v>2385.1354603623276</v>
      </c>
      <c r="D23">
        <f>D22</f>
        <v>0.43956013069919714</v>
      </c>
      <c r="E23" s="48">
        <f t="shared" si="2"/>
        <v>1048.4104546921544</v>
      </c>
    </row>
  </sheetData>
  <phoneticPr fontId="8" type="noConversion"/>
  <conditionalFormatting sqref="E3">
    <cfRule type="containsText" dxfId="4" priority="1" operator="containsText" text="Fairly Valued">
      <formula>NOT(ISERROR(SEARCH("Fairly Valued",E3)))</formula>
    </cfRule>
    <cfRule type="containsText" dxfId="3" priority="2" operator="containsText" text="Undervalued">
      <formula>NOT(ISERROR(SEARCH("Undervalued",E3)))</formula>
    </cfRule>
    <cfRule type="containsText" dxfId="2" priority="3" operator="containsText" text="Overvalued">
      <formula>NOT(ISERROR(SEARCH("Overvalued",E3)))</formula>
    </cfRule>
    <cfRule type="containsText" dxfId="1" priority="4" operator="containsText" text="Overvalued">
      <formula>NOT(ISERROR(SEARCH("Overvalued",E3)))</formula>
    </cfRule>
    <cfRule type="containsText" dxfId="0" priority="5" operator="containsText" text="Overvalued">
      <formula>NOT(ISERROR(SEARCH("Overvalued",E3)))</formula>
    </cfRule>
  </conditionalFormatting>
  <dataValidations count="4">
    <dataValidation type="list" allowBlank="1" showInputMessage="1" showErrorMessage="1" sqref="C6" xr:uid="{F998567E-C131-4BF6-8EFD-13E43B8D724B}">
      <formula1>$I$3:$I$8</formula1>
    </dataValidation>
    <dataValidation type="list" allowBlank="1" showInputMessage="1" showErrorMessage="1" sqref="C7" xr:uid="{2E43583E-7DBB-4116-990E-A71091219DBB}">
      <formula1>$J$3:$J$6</formula1>
    </dataValidation>
    <dataValidation type="list" allowBlank="1" showInputMessage="1" showErrorMessage="1" sqref="C8" xr:uid="{EEC5159A-6A62-4F00-981E-66169DBD3749}">
      <formula1>$K$3:$K$7</formula1>
    </dataValidation>
    <dataValidation type="list" allowBlank="1" showInputMessage="1" showErrorMessage="1" sqref="C9" xr:uid="{615AD20B-72FA-4A9D-B456-403D7B3F4829}">
      <formula1>$L$3:$L$7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2320-E965-4E4D-8BEF-2B63A8918861}">
  <dimension ref="B1:Z65"/>
  <sheetViews>
    <sheetView showGridLines="0" topLeftCell="R1" zoomScaleNormal="100" workbookViewId="0">
      <selection activeCell="X4" sqref="X4:Z4"/>
    </sheetView>
  </sheetViews>
  <sheetFormatPr defaultRowHeight="14.5" x14ac:dyDescent="0.35"/>
  <cols>
    <col min="1" max="2" width="8.796875" style="5"/>
    <col min="3" max="3" width="15.19921875" style="5" customWidth="1"/>
    <col min="4" max="4" width="18.09765625" style="5" customWidth="1"/>
    <col min="5" max="5" width="12.5" style="5" customWidth="1"/>
    <col min="6" max="6" width="14.09765625" style="5" customWidth="1"/>
    <col min="7" max="7" width="15.8984375" style="5" customWidth="1"/>
    <col min="8" max="8" width="13.19921875" style="5" customWidth="1"/>
    <col min="9" max="9" width="8.796875" style="23"/>
    <col min="10" max="10" width="8.796875" style="5" customWidth="1"/>
    <col min="11" max="18" width="8.796875" style="5"/>
    <col min="19" max="19" width="17.59765625" style="5" customWidth="1"/>
    <col min="20" max="20" width="16.3984375" style="5" customWidth="1"/>
    <col min="21" max="21" width="16.09765625" style="5" customWidth="1"/>
    <col min="22" max="22" width="18.09765625" style="5" customWidth="1"/>
    <col min="23" max="23" width="8.796875" style="5"/>
    <col min="24" max="24" width="30.3984375" style="5" customWidth="1"/>
    <col min="25" max="16384" width="8.796875" style="5"/>
  </cols>
  <sheetData>
    <row r="1" spans="2:26" ht="15.5" x14ac:dyDescent="0.35">
      <c r="B1" s="5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20" t="s">
        <v>6</v>
      </c>
      <c r="I1" s="21"/>
    </row>
    <row r="2" spans="2:26" x14ac:dyDescent="0.35">
      <c r="B2" s="5">
        <v>1960</v>
      </c>
      <c r="C2" s="22">
        <v>5.3400000000000003E-2</v>
      </c>
      <c r="D2" s="22">
        <v>3.4099999999999998E-2</v>
      </c>
      <c r="E2" s="5">
        <v>58.11</v>
      </c>
      <c r="F2" s="5">
        <v>3.1</v>
      </c>
      <c r="G2" s="5">
        <v>1.98</v>
      </c>
      <c r="H2" s="22">
        <v>0.63859999999999995</v>
      </c>
    </row>
    <row r="3" spans="2:26" x14ac:dyDescent="0.35">
      <c r="B3" s="5">
        <v>1961</v>
      </c>
      <c r="C3" s="22">
        <v>4.7100000000000003E-2</v>
      </c>
      <c r="D3" s="22">
        <v>2.8500000000000001E-2</v>
      </c>
      <c r="E3" s="5">
        <v>71.55</v>
      </c>
      <c r="F3" s="5">
        <v>3.37</v>
      </c>
      <c r="G3" s="5">
        <v>2.04</v>
      </c>
      <c r="H3" s="22">
        <v>0.60509999999999997</v>
      </c>
    </row>
    <row r="4" spans="2:26" x14ac:dyDescent="0.35">
      <c r="B4" s="5">
        <v>1962</v>
      </c>
      <c r="C4" s="22">
        <v>5.8099999999999999E-2</v>
      </c>
      <c r="D4" s="22">
        <v>3.4000000000000002E-2</v>
      </c>
      <c r="E4" s="5">
        <v>63.1</v>
      </c>
      <c r="F4" s="5">
        <v>3.67</v>
      </c>
      <c r="G4" s="5">
        <v>2.15</v>
      </c>
      <c r="H4" s="22">
        <v>0.58520000000000005</v>
      </c>
      <c r="I4" s="24"/>
      <c r="X4" s="8" t="s">
        <v>142</v>
      </c>
      <c r="Y4" s="8" t="s">
        <v>143</v>
      </c>
      <c r="Z4" s="40">
        <f>AVERAGE(S15:S65)</f>
        <v>8.2081685652151237E-2</v>
      </c>
    </row>
    <row r="5" spans="2:26" x14ac:dyDescent="0.35">
      <c r="B5" s="5">
        <v>1963</v>
      </c>
      <c r="C5" s="22">
        <v>5.5100000000000003E-2</v>
      </c>
      <c r="D5" s="22">
        <v>3.1300000000000001E-2</v>
      </c>
      <c r="E5" s="5">
        <v>75.02</v>
      </c>
      <c r="F5" s="5">
        <v>4.13</v>
      </c>
      <c r="G5" s="5">
        <v>2.35</v>
      </c>
      <c r="H5" s="22">
        <v>0.56810000000000005</v>
      </c>
      <c r="I5" s="25"/>
      <c r="X5" s="39"/>
      <c r="Y5" s="39"/>
    </row>
    <row r="6" spans="2:26" x14ac:dyDescent="0.35">
      <c r="B6" s="5">
        <v>1964</v>
      </c>
      <c r="C6" s="22">
        <v>5.62E-2</v>
      </c>
      <c r="D6" s="22">
        <v>3.0499999999999999E-2</v>
      </c>
      <c r="E6" s="5">
        <v>84.75</v>
      </c>
      <c r="F6" s="5">
        <v>4.76</v>
      </c>
      <c r="G6" s="5">
        <v>2.58</v>
      </c>
      <c r="H6" s="22">
        <v>0.54269999999999996</v>
      </c>
      <c r="I6" s="24"/>
      <c r="X6" s="8" t="s">
        <v>142</v>
      </c>
      <c r="Y6" s="8" t="s">
        <v>125</v>
      </c>
      <c r="Z6" s="40">
        <f>AVERAGE(T17:T65)</f>
        <v>7.3393255199584798E-2</v>
      </c>
    </row>
    <row r="7" spans="2:26" x14ac:dyDescent="0.35">
      <c r="B7" s="5">
        <v>1965</v>
      </c>
      <c r="C7" s="22">
        <v>5.7299999999999997E-2</v>
      </c>
      <c r="D7" s="22">
        <v>3.0599999999999999E-2</v>
      </c>
      <c r="E7" s="5">
        <v>92.43</v>
      </c>
      <c r="F7" s="5">
        <v>5.3</v>
      </c>
      <c r="G7" s="5">
        <v>2.83</v>
      </c>
      <c r="H7" s="22">
        <v>0.53400000000000003</v>
      </c>
      <c r="I7" s="25"/>
      <c r="X7" s="39"/>
      <c r="Y7" s="39"/>
    </row>
    <row r="8" spans="2:26" ht="15" thickBot="1" x14ac:dyDescent="0.4">
      <c r="B8" s="5">
        <v>1966</v>
      </c>
      <c r="C8" s="22">
        <v>6.7400000000000002E-2</v>
      </c>
      <c r="D8" s="22">
        <v>3.5900000000000001E-2</v>
      </c>
      <c r="E8" s="5">
        <v>80.33</v>
      </c>
      <c r="F8" s="5">
        <v>5.41</v>
      </c>
      <c r="G8" s="5">
        <v>2.88</v>
      </c>
      <c r="H8" s="22">
        <v>0.53259999999999996</v>
      </c>
      <c r="I8" s="24"/>
      <c r="X8" s="8" t="s">
        <v>142</v>
      </c>
      <c r="Y8" s="8" t="s">
        <v>124</v>
      </c>
      <c r="Z8" s="40">
        <f>AVERAGE(U19:U65)</f>
        <v>6.7634593939228119E-2</v>
      </c>
    </row>
    <row r="9" spans="2:26" x14ac:dyDescent="0.35">
      <c r="B9" s="5">
        <v>1967</v>
      </c>
      <c r="C9" s="22">
        <v>5.6599999999999998E-2</v>
      </c>
      <c r="D9" s="22">
        <v>3.09E-2</v>
      </c>
      <c r="E9" s="5">
        <v>96.47</v>
      </c>
      <c r="F9" s="5">
        <v>5.46</v>
      </c>
      <c r="G9" s="5">
        <v>2.98</v>
      </c>
      <c r="H9" s="22">
        <v>0.54590000000000005</v>
      </c>
      <c r="I9" s="26"/>
      <c r="X9" s="39"/>
      <c r="Y9" s="39"/>
    </row>
    <row r="10" spans="2:26" ht="15" thickBot="1" x14ac:dyDescent="0.4">
      <c r="B10" s="5">
        <v>1968</v>
      </c>
      <c r="C10" s="22">
        <v>5.5100000000000003E-2</v>
      </c>
      <c r="D10" s="22">
        <v>2.93E-2</v>
      </c>
      <c r="E10" s="5">
        <v>103.86</v>
      </c>
      <c r="F10" s="5">
        <v>5.72</v>
      </c>
      <c r="G10" s="5">
        <v>3.04</v>
      </c>
      <c r="H10" s="22">
        <v>0.53180000000000005</v>
      </c>
      <c r="I10" s="27"/>
      <c r="X10" s="8" t="s">
        <v>142</v>
      </c>
      <c r="Y10" s="8" t="s">
        <v>133</v>
      </c>
      <c r="Z10" s="40">
        <f>AVERAGE(V22:V65)</f>
        <v>6.5979144806418047E-2</v>
      </c>
    </row>
    <row r="11" spans="2:26" x14ac:dyDescent="0.35">
      <c r="B11" s="5">
        <v>1969</v>
      </c>
      <c r="C11" s="22">
        <v>6.6299999999999998E-2</v>
      </c>
      <c r="D11" s="22">
        <v>3.5200000000000002E-2</v>
      </c>
      <c r="E11" s="5">
        <v>92.06</v>
      </c>
      <c r="F11" s="5">
        <v>6.1</v>
      </c>
      <c r="G11" s="5">
        <v>3.24</v>
      </c>
      <c r="H11" s="22">
        <v>0.53090000000000004</v>
      </c>
      <c r="I11" s="28"/>
      <c r="L11" s="29"/>
      <c r="N11" s="30" t="s">
        <v>0</v>
      </c>
      <c r="O11" s="30" t="s">
        <v>136</v>
      </c>
      <c r="P11" s="30" t="s">
        <v>130</v>
      </c>
      <c r="R11" s="30" t="s">
        <v>137</v>
      </c>
      <c r="S11" s="30" t="s">
        <v>138</v>
      </c>
      <c r="T11" s="30" t="s">
        <v>139</v>
      </c>
      <c r="U11" s="31" t="s">
        <v>140</v>
      </c>
      <c r="V11" s="30" t="s">
        <v>141</v>
      </c>
    </row>
    <row r="12" spans="2:26" x14ac:dyDescent="0.35">
      <c r="B12" s="5">
        <v>1970</v>
      </c>
      <c r="C12" s="22">
        <v>5.9799999999999999E-2</v>
      </c>
      <c r="D12" s="22">
        <v>3.4599999999999999E-2</v>
      </c>
      <c r="E12" s="5">
        <v>92.15</v>
      </c>
      <c r="F12" s="5">
        <v>5.51</v>
      </c>
      <c r="G12" s="5">
        <v>3.19</v>
      </c>
      <c r="H12" s="22">
        <v>0.5786</v>
      </c>
      <c r="L12" s="32"/>
      <c r="N12" s="5">
        <v>1970</v>
      </c>
      <c r="O12" s="27">
        <v>15.76</v>
      </c>
      <c r="P12" s="5">
        <v>83.281818181818196</v>
      </c>
      <c r="R12" s="5">
        <f>P12/O12</f>
        <v>5.2843793262574996</v>
      </c>
    </row>
    <row r="13" spans="2:26" x14ac:dyDescent="0.35">
      <c r="B13" s="5">
        <v>1971</v>
      </c>
      <c r="C13" s="22">
        <v>5.4600000000000003E-2</v>
      </c>
      <c r="D13" s="22">
        <v>3.1E-2</v>
      </c>
      <c r="E13" s="5">
        <v>102.09</v>
      </c>
      <c r="F13" s="5">
        <v>5.57</v>
      </c>
      <c r="G13" s="5">
        <v>3.16</v>
      </c>
      <c r="H13" s="22">
        <v>0.56779999999999997</v>
      </c>
      <c r="L13" s="33"/>
      <c r="N13" s="5">
        <v>1971</v>
      </c>
      <c r="O13" s="28">
        <v>18.12</v>
      </c>
      <c r="P13" s="5">
        <v>98.291666666666671</v>
      </c>
      <c r="R13" s="5">
        <f t="shared" ref="R13:R65" si="0">P13/O13</f>
        <v>5.4244849153789554</v>
      </c>
    </row>
    <row r="14" spans="2:26" x14ac:dyDescent="0.35">
      <c r="B14" s="5">
        <v>1972</v>
      </c>
      <c r="C14" s="22">
        <v>5.2299999999999999E-2</v>
      </c>
      <c r="D14" s="22">
        <v>2.7E-2</v>
      </c>
      <c r="E14" s="5">
        <v>118.05</v>
      </c>
      <c r="F14" s="5">
        <v>6.17</v>
      </c>
      <c r="G14" s="5">
        <v>3.19</v>
      </c>
      <c r="H14" s="22">
        <v>0.51629999999999998</v>
      </c>
      <c r="L14" s="32"/>
      <c r="N14" s="5">
        <v>1972</v>
      </c>
      <c r="O14" s="27">
        <v>18.010000000000002</v>
      </c>
      <c r="P14" s="5">
        <v>109.77499999999999</v>
      </c>
      <c r="R14" s="5">
        <f t="shared" si="0"/>
        <v>6.0952248750694045</v>
      </c>
    </row>
    <row r="15" spans="2:26" x14ac:dyDescent="0.35">
      <c r="B15" s="5">
        <v>1973</v>
      </c>
      <c r="C15" s="22">
        <v>8.1600000000000006E-2</v>
      </c>
      <c r="D15" s="22">
        <v>3.6999999999999998E-2</v>
      </c>
      <c r="E15" s="5">
        <v>97.55</v>
      </c>
      <c r="F15" s="5">
        <v>7.96</v>
      </c>
      <c r="G15" s="5">
        <v>3.61</v>
      </c>
      <c r="H15" s="22">
        <v>0.45340000000000003</v>
      </c>
      <c r="L15" s="33"/>
      <c r="N15" s="5">
        <v>1973</v>
      </c>
      <c r="O15" s="28">
        <v>18.09</v>
      </c>
      <c r="P15" s="5">
        <v>106.50833333333334</v>
      </c>
      <c r="R15" s="5">
        <f t="shared" si="0"/>
        <v>5.8876911737608255</v>
      </c>
      <c r="S15" s="34">
        <f>_xlfn.RRI(3,R12,R15)</f>
        <v>3.6693428762627489E-2</v>
      </c>
    </row>
    <row r="16" spans="2:26" x14ac:dyDescent="0.35">
      <c r="B16" s="5">
        <v>1974</v>
      </c>
      <c r="C16" s="22">
        <v>0.13639999999999999</v>
      </c>
      <c r="D16" s="22">
        <v>5.4300000000000001E-2</v>
      </c>
      <c r="E16" s="5">
        <v>68.56</v>
      </c>
      <c r="F16" s="5">
        <v>9.35</v>
      </c>
      <c r="G16" s="5">
        <v>3.72</v>
      </c>
      <c r="H16" s="22">
        <v>0.39810000000000001</v>
      </c>
      <c r="L16" s="32"/>
      <c r="N16" s="5">
        <v>1974</v>
      </c>
      <c r="O16" s="27">
        <v>11.68</v>
      </c>
      <c r="P16" s="5">
        <v>81.491666666666674</v>
      </c>
      <c r="R16" s="5">
        <f t="shared" si="0"/>
        <v>6.9770262557077638</v>
      </c>
      <c r="S16" s="34">
        <f t="shared" ref="S16:S65" si="1">_xlfn.RRI(3,R13,R16)</f>
        <v>8.7520078242237842E-2</v>
      </c>
    </row>
    <row r="17" spans="2:22" x14ac:dyDescent="0.35">
      <c r="B17" s="5">
        <v>1975</v>
      </c>
      <c r="C17" s="22">
        <v>8.5500000000000007E-2</v>
      </c>
      <c r="D17" s="22">
        <v>4.1399999999999999E-2</v>
      </c>
      <c r="E17" s="5">
        <v>90.19</v>
      </c>
      <c r="F17" s="5">
        <v>7.71</v>
      </c>
      <c r="G17" s="5">
        <v>3.73</v>
      </c>
      <c r="H17" s="22">
        <v>0.48420000000000002</v>
      </c>
      <c r="L17" s="33"/>
      <c r="N17" s="5">
        <v>1975</v>
      </c>
      <c r="O17" s="28">
        <v>8.3000000000000007</v>
      </c>
      <c r="P17" s="5">
        <v>87.141666666666666</v>
      </c>
      <c r="R17" s="5">
        <f t="shared" si="0"/>
        <v>10.498995983935743</v>
      </c>
      <c r="S17" s="34">
        <f t="shared" si="1"/>
        <v>0.19872440021090587</v>
      </c>
      <c r="T17" s="34">
        <f>_xlfn.RRI(5,R12,R17)</f>
        <v>0.1471778606084384</v>
      </c>
    </row>
    <row r="18" spans="2:22" x14ac:dyDescent="0.35">
      <c r="B18" s="5">
        <v>1976</v>
      </c>
      <c r="C18" s="22">
        <v>9.0700000000000003E-2</v>
      </c>
      <c r="D18" s="22">
        <v>3.9300000000000002E-2</v>
      </c>
      <c r="E18" s="5">
        <v>107.46</v>
      </c>
      <c r="F18" s="5">
        <v>9.75</v>
      </c>
      <c r="G18" s="5">
        <v>4.22</v>
      </c>
      <c r="H18" s="22">
        <v>0.43330000000000002</v>
      </c>
      <c r="L18" s="32"/>
      <c r="N18" s="5">
        <v>1976</v>
      </c>
      <c r="O18" s="27">
        <v>11.82</v>
      </c>
      <c r="P18" s="5">
        <v>102.79166666666667</v>
      </c>
      <c r="R18" s="5">
        <f t="shared" si="0"/>
        <v>8.6964184997179927</v>
      </c>
      <c r="S18" s="34">
        <f t="shared" si="1"/>
        <v>0.1388463557958397</v>
      </c>
      <c r="T18" s="34">
        <f t="shared" ref="T18:T65" si="2">_xlfn.RRI(5,R13,R18)</f>
        <v>9.899669171850034E-2</v>
      </c>
    </row>
    <row r="19" spans="2:22" x14ac:dyDescent="0.35">
      <c r="B19" s="5">
        <v>1977</v>
      </c>
      <c r="C19" s="22">
        <v>0.1143</v>
      </c>
      <c r="D19" s="22">
        <v>5.11E-2</v>
      </c>
      <c r="E19" s="5">
        <v>95.1</v>
      </c>
      <c r="F19" s="5">
        <v>10.87</v>
      </c>
      <c r="G19" s="5">
        <v>4.8600000000000003</v>
      </c>
      <c r="H19" s="22">
        <v>0.4471</v>
      </c>
      <c r="L19" s="33"/>
      <c r="N19" s="5">
        <v>1977</v>
      </c>
      <c r="O19" s="28">
        <v>10.41</v>
      </c>
      <c r="P19" s="5">
        <v>97.458333333333314</v>
      </c>
      <c r="R19" s="5">
        <f t="shared" si="0"/>
        <v>9.3619916746717884</v>
      </c>
      <c r="S19" s="34">
        <f t="shared" si="1"/>
        <v>0.10297575068843545</v>
      </c>
      <c r="T19" s="34">
        <f t="shared" si="2"/>
        <v>8.962159919882251E-2</v>
      </c>
      <c r="U19" s="34">
        <f>_xlfn.RRI(7,R12,R19)</f>
        <v>8.5130668662456221E-2</v>
      </c>
    </row>
    <row r="20" spans="2:22" x14ac:dyDescent="0.35">
      <c r="B20" s="5">
        <v>1978</v>
      </c>
      <c r="C20" s="22">
        <v>0.1211</v>
      </c>
      <c r="D20" s="22">
        <v>5.3900000000000003E-2</v>
      </c>
      <c r="E20" s="5">
        <v>96.11</v>
      </c>
      <c r="F20" s="5">
        <v>11.64</v>
      </c>
      <c r="G20" s="5">
        <v>5.18</v>
      </c>
      <c r="H20" s="22">
        <v>0.4451</v>
      </c>
      <c r="L20" s="32"/>
      <c r="N20" s="5">
        <v>1978</v>
      </c>
      <c r="O20" s="27">
        <v>8.2799999999999994</v>
      </c>
      <c r="P20" s="5">
        <v>95.449999999999989</v>
      </c>
      <c r="R20" s="5">
        <f t="shared" si="0"/>
        <v>11.527777777777777</v>
      </c>
      <c r="S20" s="34">
        <f t="shared" si="1"/>
        <v>3.1650537494360975E-2</v>
      </c>
      <c r="T20" s="34">
        <f t="shared" si="2"/>
        <v>0.14382639676925968</v>
      </c>
      <c r="U20" s="34">
        <f t="shared" ref="U20:U65" si="3">_xlfn.RRI(7,R13,R20)</f>
        <v>0.11370349947543112</v>
      </c>
    </row>
    <row r="21" spans="2:22" x14ac:dyDescent="0.35">
      <c r="B21" s="5">
        <v>1979</v>
      </c>
      <c r="C21" s="22">
        <v>0.1348</v>
      </c>
      <c r="D21" s="22">
        <v>5.5300000000000002E-2</v>
      </c>
      <c r="E21" s="5">
        <v>107.94</v>
      </c>
      <c r="F21" s="5">
        <v>14.55</v>
      </c>
      <c r="G21" s="5">
        <v>5.97</v>
      </c>
      <c r="H21" s="22">
        <v>0.41020000000000001</v>
      </c>
      <c r="L21" s="33"/>
      <c r="N21" s="5">
        <v>1979</v>
      </c>
      <c r="O21" s="28">
        <v>7.88</v>
      </c>
      <c r="P21" s="5">
        <v>103.32499999999999</v>
      </c>
      <c r="R21" s="5">
        <f t="shared" si="0"/>
        <v>13.112309644670049</v>
      </c>
      <c r="S21" s="34">
        <f t="shared" si="1"/>
        <v>0.14669060708935544</v>
      </c>
      <c r="T21" s="34">
        <f t="shared" si="2"/>
        <v>0.13449286224969015</v>
      </c>
      <c r="U21" s="34">
        <f t="shared" si="3"/>
        <v>0.1156476788733789</v>
      </c>
    </row>
    <row r="22" spans="2:22" x14ac:dyDescent="0.35">
      <c r="B22" s="5">
        <v>1980</v>
      </c>
      <c r="C22" s="22">
        <v>0.1104</v>
      </c>
      <c r="D22" s="22">
        <v>4.7399999999999998E-2</v>
      </c>
      <c r="E22" s="5">
        <v>135.76</v>
      </c>
      <c r="F22" s="5">
        <v>14.99</v>
      </c>
      <c r="G22" s="5">
        <v>6.44</v>
      </c>
      <c r="H22" s="22">
        <v>0.42930000000000001</v>
      </c>
      <c r="L22" s="32"/>
      <c r="N22" s="5">
        <v>1980</v>
      </c>
      <c r="O22" s="27">
        <v>7.39</v>
      </c>
      <c r="P22" s="5">
        <v>119.59166666666668</v>
      </c>
      <c r="R22" s="5">
        <f t="shared" si="0"/>
        <v>16.182904826341908</v>
      </c>
      <c r="S22" s="34">
        <f t="shared" si="1"/>
        <v>0.20013308875473368</v>
      </c>
      <c r="T22" s="34">
        <f t="shared" si="2"/>
        <v>9.0389704145902305E-2</v>
      </c>
      <c r="U22" s="34">
        <f t="shared" si="3"/>
        <v>0.1553942670731101</v>
      </c>
      <c r="V22" s="34">
        <f>_xlfn.RRI(10,R12,R22)</f>
        <v>0.11842341178623594</v>
      </c>
    </row>
    <row r="23" spans="2:22" x14ac:dyDescent="0.35">
      <c r="B23" s="5">
        <v>1981</v>
      </c>
      <c r="C23" s="22">
        <v>0.1239</v>
      </c>
      <c r="D23" s="22">
        <v>5.57E-2</v>
      </c>
      <c r="E23" s="5">
        <v>122.55</v>
      </c>
      <c r="F23" s="5">
        <v>15.18</v>
      </c>
      <c r="G23" s="5">
        <v>6.83</v>
      </c>
      <c r="H23" s="22">
        <v>0.4496</v>
      </c>
      <c r="L23" s="33"/>
      <c r="N23" s="5">
        <v>1981</v>
      </c>
      <c r="O23" s="28">
        <v>9.02</v>
      </c>
      <c r="P23" s="5">
        <v>127.85000000000001</v>
      </c>
      <c r="R23" s="5">
        <f t="shared" si="0"/>
        <v>14.174057649667407</v>
      </c>
      <c r="S23" s="34">
        <f t="shared" si="1"/>
        <v>7.1312567504352442E-2</v>
      </c>
      <c r="T23" s="34">
        <f t="shared" si="2"/>
        <v>0.10263240756443337</v>
      </c>
      <c r="U23" s="34">
        <f t="shared" si="3"/>
        <v>0.10655966028982777</v>
      </c>
      <c r="V23" s="34">
        <f t="shared" ref="V23:V65" si="4">_xlfn.RRI(10,R13,R23)</f>
        <v>0.1008130486576353</v>
      </c>
    </row>
    <row r="24" spans="2:22" x14ac:dyDescent="0.35">
      <c r="B24" s="5">
        <v>1982</v>
      </c>
      <c r="C24" s="22">
        <v>9.8299999999999998E-2</v>
      </c>
      <c r="D24" s="22">
        <v>4.9299999999999997E-2</v>
      </c>
      <c r="E24" s="5">
        <v>140.63999999999999</v>
      </c>
      <c r="F24" s="5">
        <v>13.82</v>
      </c>
      <c r="G24" s="5">
        <v>6.93</v>
      </c>
      <c r="H24" s="22">
        <v>0.50149999999999995</v>
      </c>
      <c r="L24" s="32"/>
      <c r="N24" s="5">
        <v>1982</v>
      </c>
      <c r="O24" s="27">
        <v>7.73</v>
      </c>
      <c r="P24" s="5">
        <v>120.26666666666667</v>
      </c>
      <c r="R24" s="5">
        <f t="shared" si="0"/>
        <v>15.558430357912892</v>
      </c>
      <c r="S24" s="34">
        <f t="shared" si="1"/>
        <v>5.867387135637725E-2</v>
      </c>
      <c r="T24" s="34">
        <f t="shared" si="2"/>
        <v>0.10692833838957516</v>
      </c>
      <c r="U24" s="34">
        <f t="shared" si="3"/>
        <v>5.7797589330772725E-2</v>
      </c>
      <c r="V24" s="34">
        <f t="shared" si="4"/>
        <v>9.8240878074816518E-2</v>
      </c>
    </row>
    <row r="25" spans="2:22" x14ac:dyDescent="0.35">
      <c r="B25" s="5">
        <v>1983</v>
      </c>
      <c r="C25" s="22">
        <v>8.0600000000000005E-2</v>
      </c>
      <c r="D25" s="22">
        <v>4.3200000000000002E-2</v>
      </c>
      <c r="E25" s="5">
        <v>164.93</v>
      </c>
      <c r="F25" s="5">
        <v>13.29</v>
      </c>
      <c r="G25" s="5">
        <v>7.12</v>
      </c>
      <c r="H25" s="22">
        <v>0.53600000000000003</v>
      </c>
      <c r="L25" s="33"/>
      <c r="N25" s="5">
        <v>1983</v>
      </c>
      <c r="O25" s="28">
        <v>11.48</v>
      </c>
      <c r="P25" s="5">
        <v>160.77500000000001</v>
      </c>
      <c r="R25" s="5">
        <f t="shared" si="0"/>
        <v>14.004790940766551</v>
      </c>
      <c r="S25" s="34">
        <f t="shared" si="1"/>
        <v>-4.7042826957881312E-2</v>
      </c>
      <c r="T25" s="34">
        <f t="shared" si="2"/>
        <v>3.969560194230537E-2</v>
      </c>
      <c r="U25" s="34">
        <f t="shared" si="3"/>
        <v>7.0439962475929763E-2</v>
      </c>
      <c r="V25" s="34">
        <f t="shared" si="4"/>
        <v>9.0518809606929151E-2</v>
      </c>
    </row>
    <row r="26" spans="2:22" x14ac:dyDescent="0.35">
      <c r="B26" s="5">
        <v>1984</v>
      </c>
      <c r="C26" s="22">
        <v>0.1007</v>
      </c>
      <c r="D26" s="22">
        <v>4.6800000000000001E-2</v>
      </c>
      <c r="E26" s="5">
        <v>167.24</v>
      </c>
      <c r="F26" s="5">
        <v>16.84</v>
      </c>
      <c r="G26" s="5">
        <v>7.83</v>
      </c>
      <c r="H26" s="22">
        <v>0.4647</v>
      </c>
      <c r="L26" s="32"/>
      <c r="N26" s="5">
        <v>1984</v>
      </c>
      <c r="O26" s="27">
        <v>11.52</v>
      </c>
      <c r="P26" s="5">
        <v>160.33333333333331</v>
      </c>
      <c r="R26" s="5">
        <f t="shared" si="0"/>
        <v>13.917824074074073</v>
      </c>
      <c r="S26" s="34">
        <f t="shared" si="1"/>
        <v>-6.0625618874335929E-3</v>
      </c>
      <c r="T26" s="34">
        <f t="shared" si="2"/>
        <v>1.1995145511506378E-2</v>
      </c>
      <c r="U26" s="34">
        <f t="shared" si="3"/>
        <v>5.82796419414362E-2</v>
      </c>
      <c r="V26" s="34">
        <f t="shared" si="4"/>
        <v>7.1494875962615501E-2</v>
      </c>
    </row>
    <row r="27" spans="2:22" x14ac:dyDescent="0.35">
      <c r="B27" s="5">
        <v>1985</v>
      </c>
      <c r="C27" s="22">
        <v>7.4200000000000002E-2</v>
      </c>
      <c r="D27" s="22">
        <v>3.8800000000000001E-2</v>
      </c>
      <c r="E27" s="5">
        <v>211.28</v>
      </c>
      <c r="F27" s="5">
        <v>15.68</v>
      </c>
      <c r="G27" s="5">
        <v>8.1999999999999993</v>
      </c>
      <c r="H27" s="22">
        <v>0.52290000000000003</v>
      </c>
      <c r="L27" s="33"/>
      <c r="N27" s="5">
        <v>1985</v>
      </c>
      <c r="O27" s="28">
        <v>10.36</v>
      </c>
      <c r="P27" s="5">
        <v>188.96666666666667</v>
      </c>
      <c r="R27" s="5">
        <f t="shared" si="0"/>
        <v>18.24002574002574</v>
      </c>
      <c r="S27" s="34">
        <f t="shared" si="1"/>
        <v>5.4435184021120353E-2</v>
      </c>
      <c r="T27" s="34">
        <f t="shared" si="2"/>
        <v>2.4221276577034434E-2</v>
      </c>
      <c r="U27" s="34">
        <f t="shared" si="3"/>
        <v>6.7747467739328604E-2</v>
      </c>
      <c r="V27" s="34">
        <f t="shared" si="4"/>
        <v>5.6787743469222329E-2</v>
      </c>
    </row>
    <row r="28" spans="2:22" x14ac:dyDescent="0.35">
      <c r="B28" s="5">
        <v>1986</v>
      </c>
      <c r="C28" s="22">
        <v>5.96E-2</v>
      </c>
      <c r="D28" s="22">
        <v>3.3799999999999997E-2</v>
      </c>
      <c r="E28" s="5">
        <v>242.17</v>
      </c>
      <c r="F28" s="5">
        <v>14.43</v>
      </c>
      <c r="G28" s="5">
        <v>8.19</v>
      </c>
      <c r="H28" s="22">
        <v>0.56710000000000005</v>
      </c>
      <c r="L28" s="32"/>
      <c r="N28" s="5">
        <v>1986</v>
      </c>
      <c r="O28" s="27">
        <v>14.28</v>
      </c>
      <c r="P28" s="5">
        <v>238.9083333333333</v>
      </c>
      <c r="R28" s="5">
        <f t="shared" si="0"/>
        <v>16.730275443510735</v>
      </c>
      <c r="S28" s="34">
        <f t="shared" si="1"/>
        <v>6.106540166145713E-2</v>
      </c>
      <c r="T28" s="34">
        <f t="shared" si="2"/>
        <v>3.3717287389061878E-2</v>
      </c>
      <c r="U28" s="34">
        <f t="shared" si="3"/>
        <v>3.542274118113653E-2</v>
      </c>
      <c r="V28" s="34">
        <f t="shared" si="4"/>
        <v>6.7618930768266639E-2</v>
      </c>
    </row>
    <row r="29" spans="2:22" x14ac:dyDescent="0.35">
      <c r="B29" s="5">
        <v>1987</v>
      </c>
      <c r="C29" s="22">
        <v>6.4899999999999999E-2</v>
      </c>
      <c r="D29" s="22">
        <v>3.7100000000000001E-2</v>
      </c>
      <c r="E29" s="5">
        <v>247.08</v>
      </c>
      <c r="F29" s="5">
        <v>16.04</v>
      </c>
      <c r="G29" s="5">
        <v>9.17</v>
      </c>
      <c r="H29" s="22">
        <v>0.5716</v>
      </c>
      <c r="L29" s="33"/>
      <c r="N29" s="5">
        <v>1987</v>
      </c>
      <c r="O29" s="28">
        <v>18.010000000000002</v>
      </c>
      <c r="P29" s="5">
        <v>286.00000000000006</v>
      </c>
      <c r="R29" s="5">
        <f t="shared" si="0"/>
        <v>15.880066629650196</v>
      </c>
      <c r="S29" s="34">
        <f t="shared" si="1"/>
        <v>4.4945546194242736E-2</v>
      </c>
      <c r="T29" s="34">
        <f t="shared" si="2"/>
        <v>4.100788257907384E-3</v>
      </c>
      <c r="U29" s="34">
        <f t="shared" si="3"/>
        <v>-2.6950440872129944E-3</v>
      </c>
      <c r="V29" s="34">
        <f t="shared" si="4"/>
        <v>5.4261645476106679E-2</v>
      </c>
    </row>
    <row r="30" spans="2:22" x14ac:dyDescent="0.35">
      <c r="B30" s="5">
        <v>1988</v>
      </c>
      <c r="C30" s="22">
        <v>8.6900000000000005E-2</v>
      </c>
      <c r="D30" s="22">
        <v>3.6799999999999999E-2</v>
      </c>
      <c r="E30" s="5">
        <v>277.72000000000003</v>
      </c>
      <c r="F30" s="5">
        <v>24.12</v>
      </c>
      <c r="G30" s="5">
        <v>9.75</v>
      </c>
      <c r="H30" s="22">
        <v>0.4042</v>
      </c>
      <c r="L30" s="32"/>
      <c r="N30" s="5">
        <v>1988</v>
      </c>
      <c r="O30" s="27">
        <v>14.02</v>
      </c>
      <c r="P30" s="5">
        <v>268.05</v>
      </c>
      <c r="R30" s="5">
        <f t="shared" si="0"/>
        <v>19.119115549215408</v>
      </c>
      <c r="S30" s="34">
        <f t="shared" si="1"/>
        <v>1.5813819945086793E-2</v>
      </c>
      <c r="T30" s="34">
        <f t="shared" si="2"/>
        <v>6.4236705239389957E-2</v>
      </c>
      <c r="U30" s="34">
        <f t="shared" si="3"/>
        <v>4.3680712318537207E-2</v>
      </c>
      <c r="V30" s="34">
        <f t="shared" si="4"/>
        <v>5.1894586858856062E-2</v>
      </c>
    </row>
    <row r="31" spans="2:22" x14ac:dyDescent="0.35">
      <c r="B31" s="5">
        <v>1989</v>
      </c>
      <c r="C31" s="22">
        <v>6.88E-2</v>
      </c>
      <c r="D31" s="22">
        <v>3.32E-2</v>
      </c>
      <c r="E31" s="5">
        <v>353.4</v>
      </c>
      <c r="F31" s="5">
        <v>24.32</v>
      </c>
      <c r="G31" s="5">
        <v>11.06</v>
      </c>
      <c r="H31" s="22">
        <v>0.45479999999999998</v>
      </c>
      <c r="L31" s="33"/>
      <c r="N31" s="5">
        <v>1989</v>
      </c>
      <c r="O31" s="28">
        <v>11.82</v>
      </c>
      <c r="P31" s="5">
        <v>326.31666666666666</v>
      </c>
      <c r="R31" s="5">
        <f t="shared" si="0"/>
        <v>27.607163000564015</v>
      </c>
      <c r="S31" s="34">
        <f t="shared" si="1"/>
        <v>0.18169726246050777</v>
      </c>
      <c r="T31" s="34">
        <f t="shared" si="2"/>
        <v>0.14680634566377804</v>
      </c>
      <c r="U31" s="34">
        <f t="shared" si="3"/>
        <v>8.5374036396050235E-2</v>
      </c>
      <c r="V31" s="34">
        <f t="shared" si="4"/>
        <v>7.7294042800541085E-2</v>
      </c>
    </row>
    <row r="32" spans="2:22" x14ac:dyDescent="0.35">
      <c r="B32" s="5">
        <v>1990</v>
      </c>
      <c r="C32" s="22">
        <v>6.8599999999999994E-2</v>
      </c>
      <c r="D32" s="22">
        <v>3.7400000000000003E-2</v>
      </c>
      <c r="E32" s="5">
        <v>330.22</v>
      </c>
      <c r="F32" s="5">
        <v>22.65</v>
      </c>
      <c r="G32" s="5">
        <v>12.09</v>
      </c>
      <c r="H32" s="22">
        <v>0.53380000000000005</v>
      </c>
      <c r="L32" s="32"/>
      <c r="N32" s="5">
        <v>1990</v>
      </c>
      <c r="O32" s="27">
        <v>15.13</v>
      </c>
      <c r="P32" s="5">
        <v>332.67499999999995</v>
      </c>
      <c r="R32" s="5">
        <f t="shared" si="0"/>
        <v>21.98777263714474</v>
      </c>
      <c r="S32" s="34">
        <f t="shared" si="1"/>
        <v>0.11457587642995071</v>
      </c>
      <c r="T32" s="34">
        <f t="shared" si="2"/>
        <v>3.8080799005235422E-2</v>
      </c>
      <c r="U32" s="34">
        <f t="shared" si="3"/>
        <v>6.656265353439661E-2</v>
      </c>
      <c r="V32" s="34">
        <f t="shared" si="4"/>
        <v>3.1127752098279116E-2</v>
      </c>
    </row>
    <row r="33" spans="2:22" x14ac:dyDescent="0.35">
      <c r="B33" s="5">
        <v>1991</v>
      </c>
      <c r="C33" s="22">
        <v>4.6300000000000001E-2</v>
      </c>
      <c r="D33" s="22">
        <v>3.1099999999999999E-2</v>
      </c>
      <c r="E33" s="5">
        <v>417.09</v>
      </c>
      <c r="F33" s="5">
        <v>19.3</v>
      </c>
      <c r="G33" s="5">
        <v>12.2</v>
      </c>
      <c r="H33" s="22">
        <v>0.6321</v>
      </c>
      <c r="L33" s="33"/>
      <c r="N33" s="5">
        <v>1991</v>
      </c>
      <c r="O33" s="28">
        <v>15.35</v>
      </c>
      <c r="P33" s="5">
        <v>381.54166666666674</v>
      </c>
      <c r="R33" s="5">
        <f t="shared" si="0"/>
        <v>24.856134636264937</v>
      </c>
      <c r="S33" s="34">
        <f t="shared" si="1"/>
        <v>9.1411682680793138E-2</v>
      </c>
      <c r="T33" s="34">
        <f t="shared" si="2"/>
        <v>8.2395804721827615E-2</v>
      </c>
      <c r="U33" s="34">
        <f t="shared" si="3"/>
        <v>8.6376397099054536E-2</v>
      </c>
      <c r="V33" s="34">
        <f t="shared" si="4"/>
        <v>5.7776562010308563E-2</v>
      </c>
    </row>
    <row r="34" spans="2:22" x14ac:dyDescent="0.35">
      <c r="B34" s="5">
        <v>1992</v>
      </c>
      <c r="C34" s="22">
        <v>4.7899999999999998E-2</v>
      </c>
      <c r="D34" s="22">
        <v>2.9000000000000001E-2</v>
      </c>
      <c r="E34" s="5">
        <v>435.71</v>
      </c>
      <c r="F34" s="5">
        <v>20.87</v>
      </c>
      <c r="G34" s="5">
        <v>12.39</v>
      </c>
      <c r="H34" s="22">
        <v>0.59370000000000001</v>
      </c>
      <c r="L34" s="32"/>
      <c r="N34" s="5">
        <v>1992</v>
      </c>
      <c r="O34" s="27">
        <v>25.93</v>
      </c>
      <c r="P34" s="5">
        <v>417.11666666666662</v>
      </c>
      <c r="R34" s="5">
        <f t="shared" si="0"/>
        <v>16.086257873762694</v>
      </c>
      <c r="S34" s="34">
        <f t="shared" si="1"/>
        <v>-0.16476038919924352</v>
      </c>
      <c r="T34" s="34">
        <f t="shared" si="2"/>
        <v>2.5834729627838282E-3</v>
      </c>
      <c r="U34" s="34">
        <f t="shared" si="3"/>
        <v>-1.7790284435707293E-2</v>
      </c>
      <c r="V34" s="34">
        <f t="shared" si="4"/>
        <v>3.3418437881884699E-3</v>
      </c>
    </row>
    <row r="35" spans="2:22" x14ac:dyDescent="0.35">
      <c r="B35" s="5">
        <v>1993</v>
      </c>
      <c r="C35" s="22">
        <v>5.7700000000000001E-2</v>
      </c>
      <c r="D35" s="22">
        <v>2.7199999999999998E-2</v>
      </c>
      <c r="E35" s="5">
        <v>466.45</v>
      </c>
      <c r="F35" s="5">
        <v>26.9</v>
      </c>
      <c r="G35" s="5">
        <v>12.58</v>
      </c>
      <c r="H35" s="22">
        <v>0.4677</v>
      </c>
      <c r="L35" s="33"/>
      <c r="N35" s="5">
        <v>1993</v>
      </c>
      <c r="O35" s="28">
        <v>22.5</v>
      </c>
      <c r="P35" s="5">
        <v>453.45</v>
      </c>
      <c r="R35" s="5">
        <f t="shared" si="0"/>
        <v>20.153333333333332</v>
      </c>
      <c r="S35" s="34">
        <f t="shared" si="1"/>
        <v>-2.862135817494349E-2</v>
      </c>
      <c r="T35" s="34">
        <f t="shared" si="2"/>
        <v>1.0591911723107916E-2</v>
      </c>
      <c r="U35" s="34">
        <f t="shared" si="3"/>
        <v>2.6949561622439555E-2</v>
      </c>
      <c r="V35" s="34">
        <f t="shared" si="4"/>
        <v>3.7067503335138197E-2</v>
      </c>
    </row>
    <row r="36" spans="2:22" x14ac:dyDescent="0.35">
      <c r="B36" s="5">
        <v>1994</v>
      </c>
      <c r="C36" s="22">
        <v>6.9099999999999995E-2</v>
      </c>
      <c r="D36" s="22">
        <v>2.9100000000000001E-2</v>
      </c>
      <c r="E36" s="5">
        <v>459.27</v>
      </c>
      <c r="F36" s="5">
        <v>31.75</v>
      </c>
      <c r="G36" s="5">
        <v>13.17</v>
      </c>
      <c r="H36" s="22">
        <v>0.4148</v>
      </c>
      <c r="L36" s="32"/>
      <c r="N36" s="5">
        <v>1994</v>
      </c>
      <c r="O36" s="27">
        <v>21.34</v>
      </c>
      <c r="P36" s="5">
        <v>460.67500000000001</v>
      </c>
      <c r="R36" s="5">
        <f t="shared" si="0"/>
        <v>21.587394564198689</v>
      </c>
      <c r="S36" s="34">
        <f t="shared" si="1"/>
        <v>-4.5911021606118263E-2</v>
      </c>
      <c r="T36" s="34">
        <f t="shared" si="2"/>
        <v>-4.8002758464754436E-2</v>
      </c>
      <c r="U36" s="34">
        <f t="shared" si="3"/>
        <v>4.4839785388485431E-2</v>
      </c>
      <c r="V36" s="34">
        <f t="shared" si="4"/>
        <v>4.4871512506218236E-2</v>
      </c>
    </row>
    <row r="37" spans="2:22" x14ac:dyDescent="0.35">
      <c r="B37" s="5">
        <v>1995</v>
      </c>
      <c r="C37" s="22">
        <v>6.1199999999999997E-2</v>
      </c>
      <c r="D37" s="22">
        <v>2.3E-2</v>
      </c>
      <c r="E37" s="5">
        <v>615.92999999999995</v>
      </c>
      <c r="F37" s="5">
        <v>37.700000000000003</v>
      </c>
      <c r="G37" s="5">
        <v>13.79</v>
      </c>
      <c r="H37" s="22">
        <v>0.36580000000000001</v>
      </c>
      <c r="L37" s="33"/>
      <c r="N37" s="5">
        <v>1995</v>
      </c>
      <c r="O37" s="28">
        <v>14.89</v>
      </c>
      <c r="P37" s="5">
        <v>546.88333333333321</v>
      </c>
      <c r="R37" s="5">
        <f t="shared" si="0"/>
        <v>36.728229236624124</v>
      </c>
      <c r="S37" s="34">
        <f t="shared" si="1"/>
        <v>0.31678535563078603</v>
      </c>
      <c r="T37" s="34">
        <f t="shared" si="2"/>
        <v>0.10806120697674948</v>
      </c>
      <c r="U37" s="34">
        <f t="shared" si="3"/>
        <v>9.7752914766946475E-2</v>
      </c>
      <c r="V37" s="34">
        <f t="shared" si="4"/>
        <v>7.2500379060599585E-2</v>
      </c>
    </row>
    <row r="38" spans="2:22" x14ac:dyDescent="0.35">
      <c r="B38" s="5">
        <v>1996</v>
      </c>
      <c r="C38" s="22">
        <v>5.4899999999999997E-2</v>
      </c>
      <c r="D38" s="22">
        <v>2.01E-2</v>
      </c>
      <c r="E38" s="5">
        <v>740.74</v>
      </c>
      <c r="F38" s="5">
        <v>40.630000000000003</v>
      </c>
      <c r="G38" s="5">
        <v>14.9</v>
      </c>
      <c r="H38" s="22">
        <v>0.36670000000000003</v>
      </c>
      <c r="L38" s="32"/>
      <c r="N38" s="5">
        <v>1996</v>
      </c>
      <c r="O38" s="27">
        <v>18.079999999999998</v>
      </c>
      <c r="P38" s="5">
        <v>674.8416666666667</v>
      </c>
      <c r="R38" s="5">
        <f t="shared" si="0"/>
        <v>37.325313421828916</v>
      </c>
      <c r="S38" s="34">
        <f t="shared" si="1"/>
        <v>0.228057942759754</v>
      </c>
      <c r="T38" s="34">
        <f t="shared" si="2"/>
        <v>8.4710824588823286E-2</v>
      </c>
      <c r="U38" s="34">
        <f t="shared" si="3"/>
        <v>4.4026852951749573E-2</v>
      </c>
      <c r="V38" s="34">
        <f t="shared" si="4"/>
        <v>8.3552696397963144E-2</v>
      </c>
    </row>
    <row r="39" spans="2:22" x14ac:dyDescent="0.35">
      <c r="B39" s="5">
        <v>1997</v>
      </c>
      <c r="C39" s="22">
        <v>4.5400000000000003E-2</v>
      </c>
      <c r="D39" s="22">
        <v>1.6E-2</v>
      </c>
      <c r="E39" s="5">
        <v>970.43</v>
      </c>
      <c r="F39" s="5">
        <v>44.09</v>
      </c>
      <c r="G39" s="5">
        <v>15.5</v>
      </c>
      <c r="H39" s="22">
        <v>0.35160000000000002</v>
      </c>
      <c r="L39" s="33"/>
      <c r="N39" s="5">
        <v>1997</v>
      </c>
      <c r="O39" s="28">
        <v>19.53</v>
      </c>
      <c r="P39" s="5">
        <v>875.85833333333323</v>
      </c>
      <c r="R39" s="5">
        <f t="shared" si="0"/>
        <v>44.846816862945886</v>
      </c>
      <c r="S39" s="34">
        <f t="shared" si="1"/>
        <v>0.27597979636534009</v>
      </c>
      <c r="T39" s="34">
        <f t="shared" si="2"/>
        <v>0.22759558922053924</v>
      </c>
      <c r="U39" s="34">
        <f t="shared" si="3"/>
        <v>0.10718828940242764</v>
      </c>
      <c r="V39" s="34">
        <f t="shared" si="4"/>
        <v>0.10939940924561675</v>
      </c>
    </row>
    <row r="40" spans="2:22" x14ac:dyDescent="0.35">
      <c r="B40" s="5">
        <v>1998</v>
      </c>
      <c r="C40" s="22">
        <v>3.5999999999999997E-2</v>
      </c>
      <c r="D40" s="22">
        <v>1.32E-2</v>
      </c>
      <c r="E40" s="5">
        <v>1229.23</v>
      </c>
      <c r="F40" s="5">
        <v>44.27</v>
      </c>
      <c r="G40" s="5">
        <v>16.2</v>
      </c>
      <c r="H40" s="22">
        <v>0.3659</v>
      </c>
      <c r="L40" s="32"/>
      <c r="N40" s="5">
        <v>1998</v>
      </c>
      <c r="O40" s="27">
        <v>24.29</v>
      </c>
      <c r="P40" s="5">
        <v>1087.8583333333333</v>
      </c>
      <c r="R40" s="5">
        <f t="shared" si="0"/>
        <v>44.786263208453413</v>
      </c>
      <c r="S40" s="34">
        <f t="shared" si="1"/>
        <v>6.8353423203634023E-2</v>
      </c>
      <c r="T40" s="34">
        <f t="shared" si="2"/>
        <v>0.17316632408274724</v>
      </c>
      <c r="U40" s="34">
        <f t="shared" si="3"/>
        <v>8.7752716353434179E-2</v>
      </c>
      <c r="V40" s="34">
        <f t="shared" si="4"/>
        <v>8.884911637194004E-2</v>
      </c>
    </row>
    <row r="41" spans="2:22" x14ac:dyDescent="0.35">
      <c r="B41" s="5">
        <v>1999</v>
      </c>
      <c r="C41" s="22">
        <v>3.5200000000000002E-2</v>
      </c>
      <c r="D41" s="22">
        <v>1.14E-2</v>
      </c>
      <c r="E41" s="5">
        <v>1469.25</v>
      </c>
      <c r="F41" s="5">
        <v>51.68</v>
      </c>
      <c r="G41" s="5">
        <v>16.690000000000001</v>
      </c>
      <c r="H41" s="22">
        <v>0.32290000000000002</v>
      </c>
      <c r="L41" s="33"/>
      <c r="N41" s="5">
        <v>1999</v>
      </c>
      <c r="O41" s="28">
        <v>32.92</v>
      </c>
      <c r="P41" s="5">
        <v>1330.5666666666668</v>
      </c>
      <c r="R41" s="5">
        <f t="shared" si="0"/>
        <v>40.418185500202512</v>
      </c>
      <c r="S41" s="34">
        <f t="shared" si="1"/>
        <v>2.6891241837136981E-2</v>
      </c>
      <c r="T41" s="34">
        <f t="shared" si="2"/>
        <v>0.13364040528725551</v>
      </c>
      <c r="U41" s="34">
        <f t="shared" si="3"/>
        <v>0.14067061874447062</v>
      </c>
      <c r="V41" s="34">
        <f t="shared" si="4"/>
        <v>3.8856360969294457E-2</v>
      </c>
    </row>
    <row r="42" spans="2:22" x14ac:dyDescent="0.35">
      <c r="B42" s="5">
        <v>2000</v>
      </c>
      <c r="C42" s="22">
        <v>4.2500000000000003E-2</v>
      </c>
      <c r="D42" s="22">
        <v>1.23E-2</v>
      </c>
      <c r="E42" s="5">
        <v>1320.28</v>
      </c>
      <c r="F42" s="5">
        <v>56.13</v>
      </c>
      <c r="G42" s="5">
        <v>16.07</v>
      </c>
      <c r="H42" s="22">
        <v>0.2863</v>
      </c>
      <c r="L42" s="32"/>
      <c r="N42" s="5">
        <v>2000</v>
      </c>
      <c r="O42" s="27">
        <v>29.04</v>
      </c>
      <c r="P42" s="5">
        <v>1419.7333333333333</v>
      </c>
      <c r="R42" s="5">
        <f t="shared" si="0"/>
        <v>48.888888888888893</v>
      </c>
      <c r="S42" s="34">
        <f t="shared" si="1"/>
        <v>2.9183578308139557E-2</v>
      </c>
      <c r="T42" s="34">
        <f t="shared" si="2"/>
        <v>5.8868515963444334E-2</v>
      </c>
      <c r="U42" s="34">
        <f t="shared" si="3"/>
        <v>0.13495977183118857</v>
      </c>
      <c r="V42" s="34">
        <f t="shared" si="4"/>
        <v>8.3185637750119668E-2</v>
      </c>
    </row>
    <row r="43" spans="2:22" x14ac:dyDescent="0.35">
      <c r="B43" s="5">
        <v>2001</v>
      </c>
      <c r="C43" s="22">
        <v>3.3799999999999997E-2</v>
      </c>
      <c r="D43" s="22">
        <v>1.37E-2</v>
      </c>
      <c r="E43" s="5">
        <v>1148.0899999999999</v>
      </c>
      <c r="F43" s="5">
        <v>38.85</v>
      </c>
      <c r="G43" s="5">
        <v>15.74</v>
      </c>
      <c r="H43" s="22">
        <v>0.40510000000000002</v>
      </c>
      <c r="L43" s="33"/>
      <c r="N43" s="5">
        <v>2001</v>
      </c>
      <c r="O43" s="28">
        <v>27.55</v>
      </c>
      <c r="P43" s="5">
        <v>1185.75</v>
      </c>
      <c r="R43" s="5">
        <f t="shared" si="0"/>
        <v>43.039927404718689</v>
      </c>
      <c r="S43" s="34">
        <f t="shared" si="1"/>
        <v>-1.317024932457278E-2</v>
      </c>
      <c r="T43" s="34">
        <f t="shared" si="2"/>
        <v>2.8901057024231847E-2</v>
      </c>
      <c r="U43" s="34">
        <f t="shared" si="3"/>
        <v>0.10359617308200186</v>
      </c>
      <c r="V43" s="34">
        <f t="shared" si="4"/>
        <v>5.6437463357422946E-2</v>
      </c>
    </row>
    <row r="44" spans="2:22" x14ac:dyDescent="0.35">
      <c r="B44" s="5">
        <v>2002</v>
      </c>
      <c r="C44" s="22">
        <v>5.2299999999999999E-2</v>
      </c>
      <c r="D44" s="22">
        <v>1.8100000000000002E-2</v>
      </c>
      <c r="E44" s="5">
        <v>879.82</v>
      </c>
      <c r="F44" s="5">
        <v>46.04</v>
      </c>
      <c r="G44" s="5">
        <v>15.96</v>
      </c>
      <c r="H44" s="22">
        <v>0.34670000000000001</v>
      </c>
      <c r="L44" s="32"/>
      <c r="N44" s="5">
        <v>2002</v>
      </c>
      <c r="O44" s="27">
        <v>46.17</v>
      </c>
      <c r="P44" s="5">
        <v>988.58333333333314</v>
      </c>
      <c r="R44" s="5">
        <f t="shared" si="0"/>
        <v>21.411811421558006</v>
      </c>
      <c r="S44" s="34">
        <f t="shared" si="1"/>
        <v>-0.19085653235430067</v>
      </c>
      <c r="T44" s="34">
        <f t="shared" si="2"/>
        <v>-0.13744984542489913</v>
      </c>
      <c r="U44" s="34">
        <f t="shared" si="3"/>
        <v>-7.4189894222336461E-2</v>
      </c>
      <c r="V44" s="34">
        <f t="shared" si="4"/>
        <v>2.9010575862992827E-2</v>
      </c>
    </row>
    <row r="45" spans="2:22" x14ac:dyDescent="0.35">
      <c r="B45" s="5">
        <v>2003</v>
      </c>
      <c r="C45" s="22">
        <v>4.9200000000000001E-2</v>
      </c>
      <c r="D45" s="22">
        <v>1.61E-2</v>
      </c>
      <c r="E45" s="5">
        <v>1111.9100000000001</v>
      </c>
      <c r="F45" s="5">
        <v>54.69</v>
      </c>
      <c r="G45" s="5">
        <v>17.88</v>
      </c>
      <c r="H45" s="22">
        <v>0.32690000000000002</v>
      </c>
      <c r="L45" s="33"/>
      <c r="N45" s="5">
        <v>2003</v>
      </c>
      <c r="O45" s="28">
        <v>31.43</v>
      </c>
      <c r="P45" s="5">
        <v>967.92500000000007</v>
      </c>
      <c r="R45" s="5">
        <f t="shared" si="0"/>
        <v>30.796213808463254</v>
      </c>
      <c r="S45" s="34">
        <f t="shared" si="1"/>
        <v>-0.14277324045603679</v>
      </c>
      <c r="T45" s="34">
        <f t="shared" si="2"/>
        <v>-7.2165537183033535E-2</v>
      </c>
      <c r="U45" s="34">
        <f t="shared" si="3"/>
        <v>-2.7094739009574154E-2</v>
      </c>
      <c r="V45" s="34">
        <f t="shared" si="4"/>
        <v>4.3314020849078316E-2</v>
      </c>
    </row>
    <row r="46" spans="2:22" x14ac:dyDescent="0.35">
      <c r="B46" s="5">
        <v>2004</v>
      </c>
      <c r="C46" s="22">
        <v>5.5800000000000002E-2</v>
      </c>
      <c r="D46" s="22">
        <v>1.5699999999999999E-2</v>
      </c>
      <c r="E46" s="5">
        <v>1211.92</v>
      </c>
      <c r="F46" s="5">
        <v>67.680000000000007</v>
      </c>
      <c r="G46" s="5">
        <v>19.010000000000002</v>
      </c>
      <c r="H46" s="22">
        <v>0.28089999999999998</v>
      </c>
      <c r="L46" s="32"/>
      <c r="N46" s="5">
        <v>2004</v>
      </c>
      <c r="O46" s="27">
        <v>22.73</v>
      </c>
      <c r="P46" s="5">
        <v>1133.95</v>
      </c>
      <c r="R46" s="5">
        <f t="shared" si="0"/>
        <v>49.887813462384514</v>
      </c>
      <c r="S46" s="34">
        <f t="shared" si="1"/>
        <v>5.0447406518888238E-2</v>
      </c>
      <c r="T46" s="34">
        <f t="shared" si="2"/>
        <v>4.299813382797768E-2</v>
      </c>
      <c r="U46" s="34">
        <f t="shared" si="3"/>
        <v>1.5334113700816721E-2</v>
      </c>
      <c r="V46" s="34">
        <f t="shared" si="4"/>
        <v>8.7375200722639157E-2</v>
      </c>
    </row>
    <row r="47" spans="2:22" x14ac:dyDescent="0.35">
      <c r="B47" s="5">
        <v>2005</v>
      </c>
      <c r="C47" s="22">
        <v>6.1199999999999997E-2</v>
      </c>
      <c r="D47" s="22">
        <v>1.7899999999999999E-2</v>
      </c>
      <c r="E47" s="5">
        <v>1248.29</v>
      </c>
      <c r="F47" s="5">
        <v>76.45</v>
      </c>
      <c r="G47" s="5">
        <v>22.34</v>
      </c>
      <c r="H47" s="22">
        <v>0.2923</v>
      </c>
      <c r="L47" s="33"/>
      <c r="N47" s="5">
        <v>2005</v>
      </c>
      <c r="O47" s="28">
        <v>19.989999999999998</v>
      </c>
      <c r="P47" s="5">
        <v>1207.7666666666664</v>
      </c>
      <c r="R47" s="5">
        <f t="shared" si="0"/>
        <v>60.418542604635647</v>
      </c>
      <c r="S47" s="34">
        <f t="shared" si="1"/>
        <v>0.41309798935725772</v>
      </c>
      <c r="T47" s="34">
        <f t="shared" si="2"/>
        <v>4.3258701277242295E-2</v>
      </c>
      <c r="U47" s="34">
        <f t="shared" si="3"/>
        <v>4.3698500665593665E-2</v>
      </c>
      <c r="V47" s="34">
        <f t="shared" si="4"/>
        <v>5.1034629680384969E-2</v>
      </c>
    </row>
    <row r="48" spans="2:22" x14ac:dyDescent="0.35">
      <c r="B48" s="5">
        <v>2006</v>
      </c>
      <c r="C48" s="22">
        <v>6.1800000000000001E-2</v>
      </c>
      <c r="D48" s="22">
        <v>1.77E-2</v>
      </c>
      <c r="E48" s="5">
        <v>1418.3</v>
      </c>
      <c r="F48" s="5">
        <v>87.72</v>
      </c>
      <c r="G48" s="5">
        <v>25.04</v>
      </c>
      <c r="H48" s="22">
        <v>0.28549999999999998</v>
      </c>
      <c r="L48" s="32"/>
      <c r="N48" s="5">
        <v>2006</v>
      </c>
      <c r="O48" s="27">
        <v>18.07</v>
      </c>
      <c r="P48" s="5">
        <v>1318.3</v>
      </c>
      <c r="R48" s="5">
        <f t="shared" si="0"/>
        <v>72.955174322080794</v>
      </c>
      <c r="S48" s="34">
        <f t="shared" si="1"/>
        <v>0.33306990632737188</v>
      </c>
      <c r="T48" s="34">
        <f t="shared" si="2"/>
        <v>0.11131432851750089</v>
      </c>
      <c r="U48" s="34">
        <f t="shared" si="3"/>
        <v>8.8027564563958549E-2</v>
      </c>
      <c r="V48" s="34">
        <f t="shared" si="4"/>
        <v>6.9314026513180638E-2</v>
      </c>
    </row>
    <row r="49" spans="2:22" x14ac:dyDescent="0.35">
      <c r="B49" s="5">
        <v>2007</v>
      </c>
      <c r="C49" s="22">
        <v>5.62E-2</v>
      </c>
      <c r="D49" s="22">
        <v>1.9199999999999998E-2</v>
      </c>
      <c r="E49" s="5">
        <v>1468.36</v>
      </c>
      <c r="F49" s="5">
        <v>82.54</v>
      </c>
      <c r="G49" s="5">
        <v>28.14</v>
      </c>
      <c r="H49" s="22">
        <v>0.34089999999999998</v>
      </c>
      <c r="L49" s="33"/>
      <c r="N49" s="5">
        <v>2007</v>
      </c>
      <c r="O49" s="28">
        <v>17.36</v>
      </c>
      <c r="P49" s="5">
        <v>1478.0999999999997</v>
      </c>
      <c r="R49" s="5">
        <f t="shared" si="0"/>
        <v>85.144009216589851</v>
      </c>
      <c r="S49" s="34">
        <f t="shared" si="1"/>
        <v>0.19505128217316337</v>
      </c>
      <c r="T49" s="34">
        <f t="shared" si="2"/>
        <v>0.31795365024244249</v>
      </c>
      <c r="U49" s="34">
        <f t="shared" si="3"/>
        <v>8.2481695566603896E-2</v>
      </c>
      <c r="V49" s="34">
        <f t="shared" si="4"/>
        <v>6.6208762269114541E-2</v>
      </c>
    </row>
    <row r="50" spans="2:22" x14ac:dyDescent="0.35">
      <c r="B50" s="5">
        <v>2008</v>
      </c>
      <c r="C50" s="22">
        <v>5.4800000000000001E-2</v>
      </c>
      <c r="D50" s="22">
        <v>3.15E-2</v>
      </c>
      <c r="E50" s="5">
        <v>903.25</v>
      </c>
      <c r="F50" s="5">
        <v>49.51</v>
      </c>
      <c r="G50" s="5">
        <v>28.45</v>
      </c>
      <c r="H50" s="22">
        <v>0.5746</v>
      </c>
      <c r="L50" s="32"/>
      <c r="N50" s="5">
        <v>2008</v>
      </c>
      <c r="O50" s="27">
        <v>21.46</v>
      </c>
      <c r="P50" s="5">
        <v>1215.2166666666665</v>
      </c>
      <c r="R50" s="5">
        <f t="shared" si="0"/>
        <v>56.627058092575325</v>
      </c>
      <c r="S50" s="34">
        <f t="shared" si="1"/>
        <v>-2.1371367396554763E-2</v>
      </c>
      <c r="T50" s="34">
        <f t="shared" si="2"/>
        <v>0.12954967433189424</v>
      </c>
      <c r="U50" s="34">
        <f t="shared" si="3"/>
        <v>3.9972322687345407E-2</v>
      </c>
      <c r="V50" s="34">
        <f t="shared" si="4"/>
        <v>2.3735862080064285E-2</v>
      </c>
    </row>
    <row r="51" spans="2:22" x14ac:dyDescent="0.35">
      <c r="B51" s="5">
        <v>2009</v>
      </c>
      <c r="C51" s="22">
        <v>5.0999999999999997E-2</v>
      </c>
      <c r="D51" s="22">
        <v>1.9699999999999999E-2</v>
      </c>
      <c r="E51" s="5">
        <v>1115.0999999999999</v>
      </c>
      <c r="F51" s="5">
        <v>56.86</v>
      </c>
      <c r="G51" s="5">
        <v>21.97</v>
      </c>
      <c r="H51" s="22">
        <v>0.38640000000000002</v>
      </c>
      <c r="L51" s="33"/>
      <c r="N51" s="5">
        <v>2009</v>
      </c>
      <c r="O51" s="28">
        <v>70.91</v>
      </c>
      <c r="P51" s="5">
        <v>948.51666666666688</v>
      </c>
      <c r="R51" s="5">
        <f t="shared" si="0"/>
        <v>13.376345602406811</v>
      </c>
      <c r="S51" s="34">
        <f t="shared" si="1"/>
        <v>-0.43189694179462657</v>
      </c>
      <c r="T51" s="34">
        <f t="shared" si="2"/>
        <v>-0.23145623732288045</v>
      </c>
      <c r="U51" s="34">
        <f t="shared" si="3"/>
        <v>-6.4999140332686056E-2</v>
      </c>
      <c r="V51" s="34">
        <f t="shared" si="4"/>
        <v>-0.10468457500310657</v>
      </c>
    </row>
    <row r="52" spans="2:22" x14ac:dyDescent="0.35">
      <c r="B52" s="5">
        <v>2010</v>
      </c>
      <c r="C52" s="22">
        <v>6.6600000000000006E-2</v>
      </c>
      <c r="D52" s="22">
        <v>1.7999999999999999E-2</v>
      </c>
      <c r="E52" s="5">
        <v>1257.6400000000001</v>
      </c>
      <c r="F52" s="5">
        <v>83.77</v>
      </c>
      <c r="G52" s="5">
        <v>22.65</v>
      </c>
      <c r="H52" s="22">
        <v>0.27039999999999997</v>
      </c>
      <c r="L52" s="32"/>
      <c r="N52" s="5">
        <v>2010</v>
      </c>
      <c r="O52" s="27">
        <v>20.7</v>
      </c>
      <c r="P52" s="5">
        <v>1130.675</v>
      </c>
      <c r="R52" s="5">
        <f t="shared" si="0"/>
        <v>54.621980676328505</v>
      </c>
      <c r="S52" s="34">
        <f t="shared" si="1"/>
        <v>-0.13754234211235439</v>
      </c>
      <c r="T52" s="34">
        <f t="shared" si="2"/>
        <v>-1.9969842932214599E-2</v>
      </c>
      <c r="U52" s="34">
        <f t="shared" si="3"/>
        <v>8.5307674464498051E-2</v>
      </c>
      <c r="V52" s="34">
        <f t="shared" si="4"/>
        <v>1.115032951340611E-2</v>
      </c>
    </row>
    <row r="53" spans="2:22" x14ac:dyDescent="0.35">
      <c r="B53" s="5">
        <v>2011</v>
      </c>
      <c r="C53" s="22">
        <v>7.6700000000000004E-2</v>
      </c>
      <c r="D53" s="22">
        <v>2.1100000000000001E-2</v>
      </c>
      <c r="E53" s="5">
        <v>1257.5999999999999</v>
      </c>
      <c r="F53" s="5">
        <v>96.44</v>
      </c>
      <c r="G53" s="5">
        <v>26.53</v>
      </c>
      <c r="H53" s="22">
        <v>0.27510000000000001</v>
      </c>
      <c r="L53" s="33"/>
      <c r="N53" s="5">
        <v>2011</v>
      </c>
      <c r="O53" s="28">
        <v>16.3</v>
      </c>
      <c r="P53" s="5">
        <v>1280.7499999999998</v>
      </c>
      <c r="R53" s="5">
        <f t="shared" si="0"/>
        <v>78.573619631901821</v>
      </c>
      <c r="S53" s="34">
        <f t="shared" si="1"/>
        <v>0.11536647564663616</v>
      </c>
      <c r="T53" s="34">
        <f t="shared" si="2"/>
        <v>1.49487946184097E-2</v>
      </c>
      <c r="U53" s="34">
        <f t="shared" si="3"/>
        <v>6.7046103783986455E-2</v>
      </c>
      <c r="V53" s="34">
        <f t="shared" si="4"/>
        <v>6.2039141543759113E-2</v>
      </c>
    </row>
    <row r="54" spans="2:22" x14ac:dyDescent="0.35">
      <c r="B54" s="5">
        <v>2012</v>
      </c>
      <c r="C54" s="22">
        <v>6.7900000000000002E-2</v>
      </c>
      <c r="D54" s="22">
        <v>2.1899999999999999E-2</v>
      </c>
      <c r="E54" s="5">
        <v>1426.19</v>
      </c>
      <c r="F54" s="5">
        <v>96.82</v>
      </c>
      <c r="G54" s="5">
        <v>31.25</v>
      </c>
      <c r="H54" s="22">
        <v>0.32279999999999998</v>
      </c>
      <c r="L54" s="32"/>
      <c r="N54" s="5">
        <v>2012</v>
      </c>
      <c r="O54" s="27">
        <v>14.87</v>
      </c>
      <c r="P54" s="5">
        <v>1386.5166666666667</v>
      </c>
      <c r="R54" s="5">
        <f t="shared" si="0"/>
        <v>93.242546514234476</v>
      </c>
      <c r="S54" s="34">
        <f t="shared" si="1"/>
        <v>0.91025882603849673</v>
      </c>
      <c r="T54" s="34">
        <f t="shared" si="2"/>
        <v>1.8338131002992863E-2</v>
      </c>
      <c r="U54" s="34">
        <f t="shared" si="3"/>
        <v>6.3948372044694501E-2</v>
      </c>
      <c r="V54" s="34">
        <f t="shared" si="4"/>
        <v>0.15850008931223702</v>
      </c>
    </row>
    <row r="55" spans="2:22" x14ac:dyDescent="0.35">
      <c r="B55" s="5">
        <v>2013</v>
      </c>
      <c r="C55" s="22">
        <v>5.6800000000000003E-2</v>
      </c>
      <c r="D55" s="22">
        <v>1.89E-2</v>
      </c>
      <c r="E55" s="5">
        <v>1848.36</v>
      </c>
      <c r="F55" s="5">
        <v>104.92</v>
      </c>
      <c r="G55" s="5">
        <v>34.9</v>
      </c>
      <c r="H55" s="22">
        <v>0.33260000000000001</v>
      </c>
      <c r="L55" s="33"/>
      <c r="N55" s="5">
        <v>2013</v>
      </c>
      <c r="O55" s="28">
        <v>17.03</v>
      </c>
      <c r="P55" s="5">
        <v>1652.291666666667</v>
      </c>
      <c r="R55" s="5">
        <f t="shared" si="0"/>
        <v>97.02241143080839</v>
      </c>
      <c r="S55" s="34">
        <f t="shared" si="1"/>
        <v>0.2110671015741965</v>
      </c>
      <c r="T55" s="34">
        <f t="shared" si="2"/>
        <v>0.11370357303639533</v>
      </c>
      <c r="U55" s="34">
        <f t="shared" si="3"/>
        <v>4.1568878651788932E-2</v>
      </c>
      <c r="V55" s="34">
        <f t="shared" si="4"/>
        <v>0.12159863954336525</v>
      </c>
    </row>
    <row r="56" spans="2:22" x14ac:dyDescent="0.35">
      <c r="B56" s="5">
        <v>2014</v>
      </c>
      <c r="C56" s="22">
        <v>5.6399999999999999E-2</v>
      </c>
      <c r="D56" s="22">
        <v>1.9199999999999998E-2</v>
      </c>
      <c r="E56" s="5">
        <v>2058.9</v>
      </c>
      <c r="F56" s="5">
        <v>116.16</v>
      </c>
      <c r="G56" s="5">
        <v>39.549999999999997</v>
      </c>
      <c r="H56" s="22">
        <v>0.34039999999999998</v>
      </c>
      <c r="L56" s="32"/>
      <c r="N56" s="5">
        <v>2014</v>
      </c>
      <c r="O56" s="27">
        <v>18.149999999999999</v>
      </c>
      <c r="P56" s="5">
        <v>1944.4150000000002</v>
      </c>
      <c r="R56" s="5">
        <f t="shared" si="0"/>
        <v>107.13030303030305</v>
      </c>
      <c r="S56" s="34">
        <f t="shared" si="1"/>
        <v>0.108864613700834</v>
      </c>
      <c r="T56" s="34">
        <f t="shared" si="2"/>
        <v>0.51605504674189562</v>
      </c>
      <c r="U56" s="34">
        <f t="shared" si="3"/>
        <v>3.3358882099289167E-2</v>
      </c>
      <c r="V56" s="34">
        <f t="shared" si="4"/>
        <v>7.942329512043278E-2</v>
      </c>
    </row>
    <row r="57" spans="2:22" x14ac:dyDescent="0.35">
      <c r="B57" s="5">
        <v>2015</v>
      </c>
      <c r="C57" s="22">
        <v>4.9200000000000001E-2</v>
      </c>
      <c r="D57" s="22">
        <v>2.12E-2</v>
      </c>
      <c r="E57" s="5">
        <v>2043.94</v>
      </c>
      <c r="F57" s="5">
        <v>100.48</v>
      </c>
      <c r="G57" s="5">
        <v>43.41</v>
      </c>
      <c r="H57" s="22">
        <v>0.432</v>
      </c>
      <c r="L57" s="33"/>
      <c r="N57" s="5">
        <v>2015</v>
      </c>
      <c r="O57" s="28">
        <v>20.02</v>
      </c>
      <c r="P57" s="5">
        <v>2051.9291666666663</v>
      </c>
      <c r="R57" s="5">
        <f t="shared" si="0"/>
        <v>102.49396436896436</v>
      </c>
      <c r="S57" s="34">
        <f t="shared" si="1"/>
        <v>3.2035703095936841E-2</v>
      </c>
      <c r="T57" s="34">
        <f t="shared" si="2"/>
        <v>0.13413869846931958</v>
      </c>
      <c r="U57" s="34">
        <f t="shared" si="3"/>
        <v>8.8455336906938298E-2</v>
      </c>
      <c r="V57" s="34">
        <f t="shared" si="4"/>
        <v>5.4272320986158196E-2</v>
      </c>
    </row>
    <row r="58" spans="2:22" x14ac:dyDescent="0.35">
      <c r="B58" s="5">
        <v>2016</v>
      </c>
      <c r="C58" s="22">
        <v>4.7500000000000001E-2</v>
      </c>
      <c r="D58" s="22">
        <v>2.0400000000000001E-2</v>
      </c>
      <c r="E58" s="5">
        <v>2238.83</v>
      </c>
      <c r="F58" s="5">
        <v>106.26</v>
      </c>
      <c r="G58" s="5">
        <v>45.7</v>
      </c>
      <c r="H58" s="22">
        <v>0.43009999999999998</v>
      </c>
      <c r="L58" s="32"/>
      <c r="N58" s="5">
        <v>2016</v>
      </c>
      <c r="O58" s="35">
        <v>22.18</v>
      </c>
      <c r="P58" s="5">
        <v>2105.8283333333334</v>
      </c>
      <c r="R58" s="5">
        <f t="shared" si="0"/>
        <v>94.942666065524506</v>
      </c>
      <c r="S58" s="34">
        <f t="shared" si="1"/>
        <v>-7.1969116946868361E-3</v>
      </c>
      <c r="T58" s="34">
        <f t="shared" si="2"/>
        <v>3.8572771830482466E-2</v>
      </c>
      <c r="U58" s="34">
        <f t="shared" si="3"/>
        <v>0.32308923083007079</v>
      </c>
      <c r="V58" s="34">
        <f t="shared" si="4"/>
        <v>2.6692837655376334E-2</v>
      </c>
    </row>
    <row r="59" spans="2:22" x14ac:dyDescent="0.35">
      <c r="B59" s="5">
        <v>2017</v>
      </c>
      <c r="C59" s="22">
        <v>4.6600000000000003E-2</v>
      </c>
      <c r="D59" s="22">
        <v>1.83E-2</v>
      </c>
      <c r="E59" s="5">
        <v>2673.61</v>
      </c>
      <c r="F59" s="5">
        <v>124.51</v>
      </c>
      <c r="G59" s="5">
        <v>48.93</v>
      </c>
      <c r="H59" s="22">
        <v>0.39300000000000002</v>
      </c>
      <c r="L59" s="33"/>
      <c r="N59" s="5">
        <v>2017</v>
      </c>
      <c r="O59" s="36">
        <v>23.59</v>
      </c>
      <c r="P59" s="5">
        <v>2465.2000000000003</v>
      </c>
      <c r="R59" s="5">
        <f t="shared" si="0"/>
        <v>104.50190758796101</v>
      </c>
      <c r="S59" s="34">
        <f t="shared" si="1"/>
        <v>-8.2459981025351237E-3</v>
      </c>
      <c r="T59" s="34">
        <f t="shared" si="2"/>
        <v>2.3062152336666308E-2</v>
      </c>
      <c r="U59" s="34">
        <f t="shared" si="3"/>
        <v>9.7112006030827702E-2</v>
      </c>
      <c r="V59" s="34">
        <f t="shared" si="4"/>
        <v>2.0697408691929597E-2</v>
      </c>
    </row>
    <row r="60" spans="2:22" x14ac:dyDescent="0.35">
      <c r="B60" s="5">
        <v>2018</v>
      </c>
      <c r="C60" s="22">
        <v>5.9200000000000003E-2</v>
      </c>
      <c r="D60" s="22">
        <v>2.1399999999999999E-2</v>
      </c>
      <c r="E60" s="5">
        <v>2506.85</v>
      </c>
      <c r="F60" s="5">
        <v>148.34</v>
      </c>
      <c r="G60" s="5">
        <v>53.61</v>
      </c>
      <c r="H60" s="22">
        <v>0.3614</v>
      </c>
      <c r="L60" s="32"/>
      <c r="N60" s="5">
        <v>2018</v>
      </c>
      <c r="O60" s="36">
        <v>24.97</v>
      </c>
      <c r="P60" s="5">
        <v>2738.3958333333335</v>
      </c>
      <c r="R60" s="5">
        <f t="shared" si="0"/>
        <v>109.66743425443867</v>
      </c>
      <c r="S60" s="34">
        <f t="shared" si="1"/>
        <v>2.2805678399934193E-2</v>
      </c>
      <c r="T60" s="34">
        <f t="shared" si="2"/>
        <v>2.4804735787300691E-2</v>
      </c>
      <c r="U60" s="34">
        <f t="shared" si="3"/>
        <v>4.8783499820162834E-2</v>
      </c>
      <c r="V60" s="34">
        <f t="shared" si="4"/>
        <v>6.8329862875196268E-2</v>
      </c>
    </row>
    <row r="61" spans="2:22" x14ac:dyDescent="0.35">
      <c r="B61" s="5">
        <v>2019</v>
      </c>
      <c r="C61" s="22">
        <v>5.0299999999999997E-2</v>
      </c>
      <c r="D61" s="22">
        <v>1.8200000000000001E-2</v>
      </c>
      <c r="E61" s="5">
        <v>3230.78</v>
      </c>
      <c r="F61" s="5">
        <v>162.35</v>
      </c>
      <c r="G61" s="5">
        <v>58.8</v>
      </c>
      <c r="H61" s="22">
        <v>0.36220000000000002</v>
      </c>
      <c r="L61" s="33"/>
      <c r="N61" s="5">
        <v>2019</v>
      </c>
      <c r="O61" s="36">
        <v>19.600000000000001</v>
      </c>
      <c r="P61" s="5">
        <v>2937.9616666666666</v>
      </c>
      <c r="R61" s="5">
        <f t="shared" si="0"/>
        <v>149.89600340136053</v>
      </c>
      <c r="S61" s="34">
        <f t="shared" si="1"/>
        <v>0.16441969793616273</v>
      </c>
      <c r="T61" s="34">
        <f t="shared" si="2"/>
        <v>6.9487084024525858E-2</v>
      </c>
      <c r="U61" s="34">
        <f t="shared" si="3"/>
        <v>7.0172295867234835E-2</v>
      </c>
      <c r="V61" s="34">
        <f t="shared" si="4"/>
        <v>0.27334256630360709</v>
      </c>
    </row>
    <row r="62" spans="2:22" x14ac:dyDescent="0.35">
      <c r="B62" s="5">
        <v>2020</v>
      </c>
      <c r="C62" s="22">
        <v>3.6799999999999999E-2</v>
      </c>
      <c r="D62" s="22">
        <v>1.5100000000000001E-2</v>
      </c>
      <c r="E62" s="5">
        <v>3756.07</v>
      </c>
      <c r="F62" s="5">
        <v>138.12</v>
      </c>
      <c r="G62" s="5">
        <v>56.7</v>
      </c>
      <c r="H62" s="22">
        <v>0.41049999999999998</v>
      </c>
      <c r="L62" s="32"/>
      <c r="N62" s="5">
        <v>2020</v>
      </c>
      <c r="O62" s="36">
        <v>24.88</v>
      </c>
      <c r="P62" s="5">
        <v>3216.9541666666664</v>
      </c>
      <c r="R62" s="5">
        <f t="shared" si="0"/>
        <v>129.29880091103965</v>
      </c>
      <c r="S62" s="34">
        <f t="shared" si="1"/>
        <v>7.3552843035431525E-2</v>
      </c>
      <c r="T62" s="34">
        <f t="shared" si="2"/>
        <v>4.7560806066009098E-2</v>
      </c>
      <c r="U62" s="34">
        <f t="shared" si="3"/>
        <v>4.1879493896825215E-2</v>
      </c>
      <c r="V62" s="34">
        <f t="shared" si="4"/>
        <v>8.9990481224113683E-2</v>
      </c>
    </row>
    <row r="63" spans="2:22" ht="15" thickBot="1" x14ac:dyDescent="0.4">
      <c r="B63" s="5">
        <v>2021</v>
      </c>
      <c r="C63" s="22">
        <v>4.3299999999999998E-2</v>
      </c>
      <c r="D63" s="22">
        <v>1.24E-2</v>
      </c>
      <c r="E63" s="5">
        <v>4766.18</v>
      </c>
      <c r="F63" s="5">
        <v>206.38</v>
      </c>
      <c r="G63" s="5">
        <v>59.2</v>
      </c>
      <c r="H63" s="22">
        <v>0.2868</v>
      </c>
      <c r="L63" s="33"/>
      <c r="N63" s="5">
        <v>2021</v>
      </c>
      <c r="O63" s="37">
        <v>35.96</v>
      </c>
      <c r="P63" s="5">
        <v>4278.7583333333332</v>
      </c>
      <c r="R63" s="5">
        <f t="shared" si="0"/>
        <v>118.98660548757879</v>
      </c>
      <c r="S63" s="34">
        <f t="shared" si="1"/>
        <v>2.7559070731032698E-2</v>
      </c>
      <c r="T63" s="34">
        <f t="shared" si="2"/>
        <v>4.6182209261703244E-2</v>
      </c>
      <c r="U63" s="34">
        <f t="shared" si="3"/>
        <v>1.5107996162410542E-2</v>
      </c>
      <c r="V63" s="34">
        <f t="shared" si="4"/>
        <v>4.2370546836711487E-2</v>
      </c>
    </row>
    <row r="64" spans="2:22" x14ac:dyDescent="0.35">
      <c r="B64" s="5">
        <v>2022</v>
      </c>
      <c r="C64" s="22">
        <v>5.7200000000000001E-2</v>
      </c>
      <c r="D64" s="22">
        <v>1.78E-2</v>
      </c>
      <c r="E64" s="5">
        <v>3839.5</v>
      </c>
      <c r="F64" s="5">
        <v>219.49</v>
      </c>
      <c r="G64" s="5">
        <v>68.34</v>
      </c>
      <c r="H64" s="22">
        <v>0.31140000000000001</v>
      </c>
      <c r="L64" s="32"/>
      <c r="N64" s="5">
        <v>2022</v>
      </c>
      <c r="O64" s="23">
        <v>23.11</v>
      </c>
      <c r="P64" s="5">
        <v>4077.6550000000011</v>
      </c>
      <c r="R64" s="5">
        <f t="shared" si="0"/>
        <v>176.44547814798793</v>
      </c>
      <c r="S64" s="34">
        <f t="shared" si="1"/>
        <v>5.5861188819736896E-2</v>
      </c>
      <c r="T64" s="34">
        <f t="shared" si="2"/>
        <v>0.11044553698408022</v>
      </c>
      <c r="U64" s="34">
        <f t="shared" si="3"/>
        <v>8.0691532755875262E-2</v>
      </c>
      <c r="V64" s="34">
        <f t="shared" si="4"/>
        <v>6.5858715365023635E-2</v>
      </c>
    </row>
    <row r="65" spans="2:22" ht="15" thickBot="1" x14ac:dyDescent="0.4">
      <c r="B65" s="5">
        <v>2023</v>
      </c>
      <c r="C65" s="22">
        <v>4.6100000000000002E-2</v>
      </c>
      <c r="D65" s="22">
        <v>1.47E-2</v>
      </c>
      <c r="E65" s="5">
        <v>4769.83</v>
      </c>
      <c r="F65" s="5">
        <v>219.7</v>
      </c>
      <c r="G65" s="5">
        <v>70.3</v>
      </c>
      <c r="H65" s="22">
        <v>0.32</v>
      </c>
      <c r="L65" s="38"/>
      <c r="N65" s="5">
        <v>2023</v>
      </c>
      <c r="O65" s="23">
        <v>22.82</v>
      </c>
      <c r="P65" s="5">
        <v>4322.6541666666681</v>
      </c>
      <c r="R65" s="5">
        <f t="shared" si="0"/>
        <v>189.42393368390307</v>
      </c>
      <c r="S65" s="34">
        <f t="shared" si="1"/>
        <v>0.13574312856874626</v>
      </c>
      <c r="T65" s="34">
        <f t="shared" si="2"/>
        <v>0.11550477496824696</v>
      </c>
      <c r="U65" s="34">
        <f t="shared" si="3"/>
        <v>0.10370585619832684</v>
      </c>
      <c r="V65" s="34">
        <f t="shared" si="4"/>
        <v>6.919342318441446E-2</v>
      </c>
    </row>
  </sheetData>
  <sortState xmlns:xlrd2="http://schemas.microsoft.com/office/spreadsheetml/2017/richdata2" ref="I2:J65">
    <sortCondition descending="1" ref="J2:J65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4C28-271A-4CE0-A941-8F4D34604D7D}">
  <dimension ref="B2:K56"/>
  <sheetViews>
    <sheetView showGridLines="0" workbookViewId="0">
      <selection activeCell="I3" sqref="I3:K3"/>
    </sheetView>
  </sheetViews>
  <sheetFormatPr defaultRowHeight="14.5" x14ac:dyDescent="0.35"/>
  <cols>
    <col min="1" max="2" width="8.796875" style="5"/>
    <col min="3" max="3" width="17.8984375" style="5" customWidth="1"/>
    <col min="4" max="4" width="13.09765625" style="5" customWidth="1"/>
    <col min="5" max="5" width="16.19921875" style="5" customWidth="1"/>
    <col min="6" max="6" width="10.8984375" style="5" customWidth="1"/>
    <col min="7" max="7" width="9.8984375" style="5" customWidth="1"/>
    <col min="8" max="8" width="8.796875" style="5"/>
    <col min="9" max="9" width="15.5" style="5" customWidth="1"/>
    <col min="10" max="16384" width="8.796875" style="5"/>
  </cols>
  <sheetData>
    <row r="2" spans="2:11" x14ac:dyDescent="0.35">
      <c r="B2" s="30" t="s">
        <v>0</v>
      </c>
      <c r="C2" s="30" t="s">
        <v>130</v>
      </c>
      <c r="D2" s="30" t="s">
        <v>2</v>
      </c>
      <c r="E2" s="30" t="s">
        <v>144</v>
      </c>
      <c r="F2" s="30" t="s">
        <v>145</v>
      </c>
      <c r="G2" s="30" t="s">
        <v>146</v>
      </c>
    </row>
    <row r="3" spans="2:11" x14ac:dyDescent="0.35">
      <c r="B3" s="5">
        <v>1970</v>
      </c>
      <c r="C3" s="41">
        <v>83.281818181818196</v>
      </c>
      <c r="D3" s="34">
        <v>3.4599999999999999E-2</v>
      </c>
      <c r="E3" s="41">
        <f>C3*D3</f>
        <v>2.8815509090909095</v>
      </c>
      <c r="F3" s="41">
        <f>E3*'Buyback Yield'!$L$6</f>
        <v>3.9482937678822649</v>
      </c>
      <c r="G3" s="34">
        <f>(E3+F3)/C3</f>
        <v>8.2008832492855482E-2</v>
      </c>
      <c r="I3" s="8" t="s">
        <v>147</v>
      </c>
      <c r="J3" s="8" t="s">
        <v>121</v>
      </c>
      <c r="K3" s="40">
        <f>AVERAGE(G37:G56)</f>
        <v>4.5069304909007138E-2</v>
      </c>
    </row>
    <row r="4" spans="2:11" x14ac:dyDescent="0.35">
      <c r="B4" s="5">
        <v>1971</v>
      </c>
      <c r="C4" s="41">
        <v>98.291666666666671</v>
      </c>
      <c r="D4" s="34">
        <v>3.1E-2</v>
      </c>
      <c r="E4" s="41">
        <f t="shared" ref="E4:E56" si="0">C4*D4</f>
        <v>3.0470416666666669</v>
      </c>
      <c r="F4" s="41">
        <f>E4*'Buyback Yield'!$L$6</f>
        <v>4.1750487853685323</v>
      </c>
      <c r="G4" s="34">
        <f t="shared" ref="G4:G56" si="1">(E4+F4)/C4</f>
        <v>7.3476121597645092E-2</v>
      </c>
    </row>
    <row r="5" spans="2:11" x14ac:dyDescent="0.35">
      <c r="B5" s="5">
        <v>1972</v>
      </c>
      <c r="C5" s="41">
        <v>109.77499999999999</v>
      </c>
      <c r="D5" s="34">
        <v>2.7E-2</v>
      </c>
      <c r="E5" s="41">
        <f t="shared" si="0"/>
        <v>2.9639249999999997</v>
      </c>
      <c r="F5" s="41">
        <f>E5*'Buyback Yield'!$L$6</f>
        <v>4.0611625389129093</v>
      </c>
      <c r="G5" s="34">
        <f t="shared" si="1"/>
        <v>6.399533171407798E-2</v>
      </c>
      <c r="I5" s="8" t="s">
        <v>147</v>
      </c>
      <c r="J5" s="8" t="s">
        <v>123</v>
      </c>
      <c r="K5" s="40">
        <f>AVERAGE(G42:G56)</f>
        <v>4.3975063743278767E-2</v>
      </c>
    </row>
    <row r="6" spans="2:11" x14ac:dyDescent="0.35">
      <c r="B6" s="5">
        <v>1973</v>
      </c>
      <c r="C6" s="41">
        <v>106.50833333333334</v>
      </c>
      <c r="D6" s="34">
        <v>3.6999999999999998E-2</v>
      </c>
      <c r="E6" s="41">
        <f t="shared" si="0"/>
        <v>3.9408083333333335</v>
      </c>
      <c r="F6" s="41">
        <f>E6*'Buyback Yield'!$L$6</f>
        <v>5.3996856116025729</v>
      </c>
      <c r="G6" s="34">
        <f t="shared" si="1"/>
        <v>8.7697306422995752E-2</v>
      </c>
    </row>
    <row r="7" spans="2:11" x14ac:dyDescent="0.35">
      <c r="B7" s="5">
        <v>1974</v>
      </c>
      <c r="C7" s="41">
        <v>81.491666666666674</v>
      </c>
      <c r="D7" s="34">
        <v>5.4300000000000001E-2</v>
      </c>
      <c r="E7" s="41">
        <f t="shared" si="0"/>
        <v>4.4249975000000008</v>
      </c>
      <c r="F7" s="41">
        <f>E7*'Buyback Yield'!$L$6</f>
        <v>6.0631203832024374</v>
      </c>
      <c r="G7" s="34">
        <f t="shared" si="1"/>
        <v>0.12870172266942351</v>
      </c>
      <c r="I7" s="8" t="s">
        <v>147</v>
      </c>
      <c r="J7" s="8" t="s">
        <v>133</v>
      </c>
      <c r="K7" s="40">
        <f>AVERAGE(G47:G56)</f>
        <v>4.2355428804836059E-2</v>
      </c>
    </row>
    <row r="8" spans="2:11" x14ac:dyDescent="0.35">
      <c r="B8" s="5">
        <v>1975</v>
      </c>
      <c r="C8" s="41">
        <v>87.141666666666666</v>
      </c>
      <c r="D8" s="34">
        <v>4.1399999999999999E-2</v>
      </c>
      <c r="E8" s="41">
        <f t="shared" si="0"/>
        <v>3.6076649999999999</v>
      </c>
      <c r="F8" s="41">
        <f>E8*'Buyback Yield'!$L$6</f>
        <v>4.9432134588247827</v>
      </c>
      <c r="G8" s="34">
        <f t="shared" si="1"/>
        <v>9.8126175294919585E-2</v>
      </c>
    </row>
    <row r="9" spans="2:11" x14ac:dyDescent="0.35">
      <c r="B9" s="5">
        <v>1976</v>
      </c>
      <c r="C9" s="41">
        <v>102.79166666666667</v>
      </c>
      <c r="D9" s="34">
        <v>3.9300000000000002E-2</v>
      </c>
      <c r="E9" s="41">
        <f t="shared" si="0"/>
        <v>4.0397125000000003</v>
      </c>
      <c r="F9" s="41">
        <f>E9*'Buyback Yield'!$L$6</f>
        <v>5.5352038506298982</v>
      </c>
      <c r="G9" s="34">
        <f t="shared" si="1"/>
        <v>9.3148760606046835E-2</v>
      </c>
      <c r="I9" s="8" t="s">
        <v>147</v>
      </c>
      <c r="J9" s="8" t="s">
        <v>124</v>
      </c>
      <c r="K9" s="40">
        <f>AVERAGE(G50:G56)</f>
        <v>3.9920897402591506E-2</v>
      </c>
    </row>
    <row r="10" spans="2:11" x14ac:dyDescent="0.35">
      <c r="B10" s="5">
        <v>1977</v>
      </c>
      <c r="C10" s="41">
        <v>97.458333333333314</v>
      </c>
      <c r="D10" s="34">
        <v>5.11E-2</v>
      </c>
      <c r="E10" s="41">
        <f t="shared" si="0"/>
        <v>4.9801208333333324</v>
      </c>
      <c r="F10" s="41">
        <f>E10*'Buyback Yield'!$L$6</f>
        <v>6.823748970568781</v>
      </c>
      <c r="G10" s="34">
        <f t="shared" si="1"/>
        <v>0.12111709076256981</v>
      </c>
    </row>
    <row r="11" spans="2:11" x14ac:dyDescent="0.35">
      <c r="B11" s="5">
        <v>1978</v>
      </c>
      <c r="C11" s="41">
        <v>95.449999999999989</v>
      </c>
      <c r="D11" s="34">
        <v>5.3900000000000003E-2</v>
      </c>
      <c r="E11" s="41">
        <f t="shared" si="0"/>
        <v>5.144755</v>
      </c>
      <c r="F11" s="41">
        <f>E11*'Buyback Yield'!$L$6</f>
        <v>7.0493302893578242</v>
      </c>
      <c r="G11" s="34">
        <f t="shared" si="1"/>
        <v>0.12775364368106679</v>
      </c>
      <c r="I11" s="8" t="s">
        <v>147</v>
      </c>
      <c r="J11" s="8" t="s">
        <v>125</v>
      </c>
      <c r="K11" s="40">
        <f>AVERAGE(G52:G56)</f>
        <v>3.7069888444747394E-2</v>
      </c>
    </row>
    <row r="12" spans="2:11" x14ac:dyDescent="0.35">
      <c r="B12" s="5">
        <v>1979</v>
      </c>
      <c r="C12" s="41">
        <v>103.32499999999999</v>
      </c>
      <c r="D12" s="34">
        <v>5.5300000000000002E-2</v>
      </c>
      <c r="E12" s="41">
        <f t="shared" si="0"/>
        <v>5.7138724999999999</v>
      </c>
      <c r="F12" s="41">
        <f>E12*'Buyback Yield'!$L$6</f>
        <v>7.8291336484980754</v>
      </c>
      <c r="G12" s="34">
        <f t="shared" si="1"/>
        <v>0.1310719201403153</v>
      </c>
    </row>
    <row r="13" spans="2:11" x14ac:dyDescent="0.35">
      <c r="B13" s="5">
        <v>1980</v>
      </c>
      <c r="C13" s="41">
        <v>119.59166666666668</v>
      </c>
      <c r="D13" s="34">
        <v>4.7399999999999998E-2</v>
      </c>
      <c r="E13" s="41">
        <f t="shared" si="0"/>
        <v>5.6686450000000006</v>
      </c>
      <c r="F13" s="41">
        <f>E13*'Buyback Yield'!$L$6</f>
        <v>7.7671630423833182</v>
      </c>
      <c r="G13" s="34">
        <f t="shared" si="1"/>
        <v>0.11234736012027022</v>
      </c>
      <c r="I13" s="8" t="s">
        <v>147</v>
      </c>
      <c r="J13" s="8" t="s">
        <v>143</v>
      </c>
      <c r="K13" s="40">
        <f>AVERAGE(G54:G56)</f>
        <v>3.5473955481013592E-2</v>
      </c>
    </row>
    <row r="14" spans="2:11" x14ac:dyDescent="0.35">
      <c r="B14" s="5">
        <v>1981</v>
      </c>
      <c r="C14" s="41">
        <v>127.85000000000001</v>
      </c>
      <c r="D14" s="34">
        <v>5.57E-2</v>
      </c>
      <c r="E14" s="41">
        <f t="shared" si="0"/>
        <v>7.121245</v>
      </c>
      <c r="F14" s="41">
        <f>E14*'Buyback Yield'!$L$6</f>
        <v>9.7575118886007122</v>
      </c>
      <c r="G14" s="34">
        <f t="shared" si="1"/>
        <v>0.13201999912867196</v>
      </c>
    </row>
    <row r="15" spans="2:11" x14ac:dyDescent="0.35">
      <c r="B15" s="5">
        <v>1982</v>
      </c>
      <c r="C15" s="41">
        <v>120.26666666666667</v>
      </c>
      <c r="D15" s="34">
        <v>4.9299999999999997E-2</v>
      </c>
      <c r="E15" s="41">
        <f t="shared" si="0"/>
        <v>5.9291466666666661</v>
      </c>
      <c r="F15" s="41">
        <f>E15*'Buyback Yield'!$L$6</f>
        <v>8.1241017672130766</v>
      </c>
      <c r="G15" s="34">
        <f t="shared" si="1"/>
        <v>0.11685073531496461</v>
      </c>
    </row>
    <row r="16" spans="2:11" x14ac:dyDescent="0.35">
      <c r="B16" s="5">
        <v>1983</v>
      </c>
      <c r="C16" s="41">
        <v>160.77500000000001</v>
      </c>
      <c r="D16" s="34">
        <v>4.3200000000000002E-2</v>
      </c>
      <c r="E16" s="41">
        <f t="shared" si="0"/>
        <v>6.9454800000000008</v>
      </c>
      <c r="F16" s="41">
        <f>E16*'Buyback Yield'!$L$6</f>
        <v>9.51667913012942</v>
      </c>
      <c r="G16" s="34">
        <f t="shared" si="1"/>
        <v>0.10239253074252477</v>
      </c>
    </row>
    <row r="17" spans="2:7" x14ac:dyDescent="0.35">
      <c r="B17" s="5">
        <v>1984</v>
      </c>
      <c r="C17" s="41">
        <v>160.33333333333331</v>
      </c>
      <c r="D17" s="34">
        <v>4.6800000000000001E-2</v>
      </c>
      <c r="E17" s="41">
        <f t="shared" si="0"/>
        <v>7.5035999999999996</v>
      </c>
      <c r="F17" s="41">
        <f>E17*'Buyback Yield'!$L$6</f>
        <v>10.281413742583537</v>
      </c>
      <c r="G17" s="34">
        <f t="shared" si="1"/>
        <v>0.11092524163773518</v>
      </c>
    </row>
    <row r="18" spans="2:7" x14ac:dyDescent="0.35">
      <c r="B18" s="5">
        <v>1985</v>
      </c>
      <c r="C18" s="41">
        <v>188.96666666666667</v>
      </c>
      <c r="D18" s="34">
        <v>3.8800000000000001E-2</v>
      </c>
      <c r="E18" s="41">
        <f t="shared" si="0"/>
        <v>7.3319066666666668</v>
      </c>
      <c r="F18" s="41">
        <f>E18*'Buyback Yield'!$L$6</f>
        <v>10.046159971481226</v>
      </c>
      <c r="G18" s="34">
        <f t="shared" si="1"/>
        <v>9.1963661870600941E-2</v>
      </c>
    </row>
    <row r="19" spans="2:7" x14ac:dyDescent="0.35">
      <c r="B19" s="5">
        <v>1986</v>
      </c>
      <c r="C19" s="41">
        <v>238.9083333333333</v>
      </c>
      <c r="D19" s="34">
        <v>3.3799999999999997E-2</v>
      </c>
      <c r="E19" s="41">
        <f t="shared" si="0"/>
        <v>8.0751016666666651</v>
      </c>
      <c r="F19" s="41">
        <f>E19*'Buyback Yield'!$L$6</f>
        <v>11.064483880860639</v>
      </c>
      <c r="G19" s="34">
        <f t="shared" si="1"/>
        <v>8.0112674516142054E-2</v>
      </c>
    </row>
    <row r="20" spans="2:7" x14ac:dyDescent="0.35">
      <c r="B20" s="5">
        <v>1987</v>
      </c>
      <c r="C20" s="41">
        <v>286.00000000000006</v>
      </c>
      <c r="D20" s="34">
        <v>3.7100000000000001E-2</v>
      </c>
      <c r="E20" s="41">
        <f t="shared" si="0"/>
        <v>10.610600000000002</v>
      </c>
      <c r="F20" s="41">
        <f>E20*'Buyback Yield'!$L$6</f>
        <v>14.538617284644291</v>
      </c>
      <c r="G20" s="34">
        <f t="shared" si="1"/>
        <v>8.7934326170084925E-2</v>
      </c>
    </row>
    <row r="21" spans="2:7" x14ac:dyDescent="0.35">
      <c r="B21" s="5">
        <v>1988</v>
      </c>
      <c r="C21" s="41">
        <v>268.05</v>
      </c>
      <c r="D21" s="34">
        <v>3.6799999999999999E-2</v>
      </c>
      <c r="E21" s="41">
        <f t="shared" si="0"/>
        <v>9.8642400000000006</v>
      </c>
      <c r="F21" s="41">
        <f>E21*'Buyback Yield'!$L$6</f>
        <v>13.515956700269504</v>
      </c>
      <c r="G21" s="34">
        <f t="shared" si="1"/>
        <v>8.7223266928817392E-2</v>
      </c>
    </row>
    <row r="22" spans="2:7" x14ac:dyDescent="0.35">
      <c r="B22" s="5">
        <v>1989</v>
      </c>
      <c r="C22" s="41">
        <v>326.31666666666666</v>
      </c>
      <c r="D22" s="34">
        <v>3.32E-2</v>
      </c>
      <c r="E22" s="41">
        <f t="shared" si="0"/>
        <v>10.833713333333334</v>
      </c>
      <c r="F22" s="41">
        <f>E22*'Buyback Yield'!$L$6</f>
        <v>14.844326609699857</v>
      </c>
      <c r="G22" s="34">
        <f t="shared" si="1"/>
        <v>7.8690556033607001E-2</v>
      </c>
    </row>
    <row r="23" spans="2:7" x14ac:dyDescent="0.35">
      <c r="B23" s="5">
        <v>1990</v>
      </c>
      <c r="C23" s="41">
        <v>332.67499999999995</v>
      </c>
      <c r="D23" s="34">
        <v>3.7400000000000003E-2</v>
      </c>
      <c r="E23" s="41">
        <f t="shared" si="0"/>
        <v>12.442044999999998</v>
      </c>
      <c r="F23" s="41">
        <f>E23*'Buyback Yield'!$L$6</f>
        <v>17.048058591721677</v>
      </c>
      <c r="G23" s="34">
        <f t="shared" si="1"/>
        <v>8.8645385411352459E-2</v>
      </c>
    </row>
    <row r="24" spans="2:7" x14ac:dyDescent="0.35">
      <c r="B24" s="5">
        <v>1991</v>
      </c>
      <c r="C24" s="41">
        <v>381.54166666666674</v>
      </c>
      <c r="D24" s="34">
        <v>3.1099999999999999E-2</v>
      </c>
      <c r="E24" s="41">
        <f t="shared" si="0"/>
        <v>11.865945833333335</v>
      </c>
      <c r="F24" s="41">
        <f>E24*'Buyback Yield'!$L$6</f>
        <v>16.258688970572155</v>
      </c>
      <c r="G24" s="34">
        <f t="shared" si="1"/>
        <v>7.3713141344734265E-2</v>
      </c>
    </row>
    <row r="25" spans="2:7" x14ac:dyDescent="0.35">
      <c r="B25" s="5">
        <v>1992</v>
      </c>
      <c r="C25" s="41">
        <v>417.11666666666662</v>
      </c>
      <c r="D25" s="34">
        <v>2.9000000000000001E-2</v>
      </c>
      <c r="E25" s="41">
        <f t="shared" si="0"/>
        <v>12.096383333333332</v>
      </c>
      <c r="F25" s="41">
        <f>E25*'Buyback Yield'!$L$6</f>
        <v>16.574433850270776</v>
      </c>
      <c r="G25" s="34">
        <f t="shared" si="1"/>
        <v>6.8735726655861529E-2</v>
      </c>
    </row>
    <row r="26" spans="2:7" x14ac:dyDescent="0.35">
      <c r="B26" s="5">
        <v>1993</v>
      </c>
      <c r="C26" s="41">
        <v>453.45</v>
      </c>
      <c r="D26" s="34">
        <v>2.7199999999999998E-2</v>
      </c>
      <c r="E26" s="41">
        <f t="shared" si="0"/>
        <v>12.333839999999999</v>
      </c>
      <c r="F26" s="41">
        <f>E26*'Buyback Yield'!$L$6</f>
        <v>16.899796374383833</v>
      </c>
      <c r="G26" s="34">
        <f t="shared" si="1"/>
        <v>6.4469371208256326E-2</v>
      </c>
    </row>
    <row r="27" spans="2:7" x14ac:dyDescent="0.35">
      <c r="B27" s="5">
        <v>1994</v>
      </c>
      <c r="C27" s="41">
        <v>460.67500000000001</v>
      </c>
      <c r="D27" s="34">
        <v>2.9100000000000001E-2</v>
      </c>
      <c r="E27" s="41">
        <f t="shared" si="0"/>
        <v>13.405642500000001</v>
      </c>
      <c r="F27" s="41">
        <f>E27*'Buyback Yield'!$L$6</f>
        <v>18.36837744917932</v>
      </c>
      <c r="G27" s="34">
        <f t="shared" si="1"/>
        <v>6.8972746402950716E-2</v>
      </c>
    </row>
    <row r="28" spans="2:7" x14ac:dyDescent="0.35">
      <c r="B28" s="5">
        <v>1995</v>
      </c>
      <c r="C28" s="41">
        <v>546.88333333333321</v>
      </c>
      <c r="D28" s="34">
        <v>2.3E-2</v>
      </c>
      <c r="E28" s="41">
        <f t="shared" si="0"/>
        <v>12.578316666666664</v>
      </c>
      <c r="F28" s="41">
        <f>E28*'Buyback Yield'!$L$6</f>
        <v>17.23477768474255</v>
      </c>
      <c r="G28" s="34">
        <f t="shared" si="1"/>
        <v>5.4514541830510868E-2</v>
      </c>
    </row>
    <row r="29" spans="2:7" x14ac:dyDescent="0.35">
      <c r="B29" s="5">
        <v>1996</v>
      </c>
      <c r="C29" s="41">
        <v>674.8416666666667</v>
      </c>
      <c r="D29" s="34">
        <v>2.01E-2</v>
      </c>
      <c r="E29" s="41">
        <f t="shared" si="0"/>
        <v>13.564317500000001</v>
      </c>
      <c r="F29" s="41">
        <f>E29*'Buyback Yield'!$L$6</f>
        <v>18.585793532873073</v>
      </c>
      <c r="G29" s="34">
        <f t="shared" si="1"/>
        <v>4.7640969164924711E-2</v>
      </c>
    </row>
    <row r="30" spans="2:7" x14ac:dyDescent="0.35">
      <c r="B30" s="5">
        <v>1997</v>
      </c>
      <c r="C30" s="41">
        <v>875.85833333333323</v>
      </c>
      <c r="D30" s="34">
        <v>1.6E-2</v>
      </c>
      <c r="E30" s="41">
        <f t="shared" si="0"/>
        <v>14.013733333333333</v>
      </c>
      <c r="F30" s="41">
        <f>E30*'Buyback Yield'!$L$6</f>
        <v>19.201581971085126</v>
      </c>
      <c r="G30" s="34">
        <f t="shared" si="1"/>
        <v>3.792315953426844E-2</v>
      </c>
    </row>
    <row r="31" spans="2:7" x14ac:dyDescent="0.35">
      <c r="B31" s="5">
        <v>1998</v>
      </c>
      <c r="C31" s="41">
        <v>1087.8583333333333</v>
      </c>
      <c r="D31" s="34">
        <v>1.32E-2</v>
      </c>
      <c r="E31" s="41">
        <f t="shared" si="0"/>
        <v>14.359730000000001</v>
      </c>
      <c r="F31" s="41">
        <f>E31*'Buyback Yield'!$L$6</f>
        <v>19.675665728688777</v>
      </c>
      <c r="G31" s="34">
        <f t="shared" si="1"/>
        <v>3.1286606615771456E-2</v>
      </c>
    </row>
    <row r="32" spans="2:7" x14ac:dyDescent="0.35">
      <c r="B32" s="5">
        <v>1999</v>
      </c>
      <c r="C32" s="41">
        <v>1330.5666666666668</v>
      </c>
      <c r="D32" s="34">
        <v>1.14E-2</v>
      </c>
      <c r="E32" s="41">
        <f t="shared" si="0"/>
        <v>15.168460000000003</v>
      </c>
      <c r="F32" s="41">
        <f>E32*'Buyback Yield'!$L$6</f>
        <v>20.783785529323087</v>
      </c>
      <c r="G32" s="34">
        <f t="shared" si="1"/>
        <v>2.7020251168166261E-2</v>
      </c>
    </row>
    <row r="33" spans="2:7" x14ac:dyDescent="0.35">
      <c r="B33" s="5">
        <v>2000</v>
      </c>
      <c r="C33" s="41">
        <v>1419.7333333333333</v>
      </c>
      <c r="D33" s="34">
        <v>1.23E-2</v>
      </c>
      <c r="E33" s="41">
        <f t="shared" si="0"/>
        <v>17.462720000000001</v>
      </c>
      <c r="F33" s="41">
        <f>E33*'Buyback Yield'!$L$6</f>
        <v>23.927374778891252</v>
      </c>
      <c r="G33" s="34">
        <f t="shared" si="1"/>
        <v>2.9153428891968858E-2</v>
      </c>
    </row>
    <row r="34" spans="2:7" x14ac:dyDescent="0.35">
      <c r="B34" s="5">
        <v>2001</v>
      </c>
      <c r="C34" s="41">
        <v>1185.75</v>
      </c>
      <c r="D34" s="34">
        <v>1.37E-2</v>
      </c>
      <c r="E34" s="41">
        <f t="shared" si="0"/>
        <v>16.244775000000001</v>
      </c>
      <c r="F34" s="41">
        <f>E34*'Buyback Yield'!$L$6</f>
        <v>22.258549620205969</v>
      </c>
      <c r="G34" s="34">
        <f t="shared" si="1"/>
        <v>3.247170535121735E-2</v>
      </c>
    </row>
    <row r="35" spans="2:7" x14ac:dyDescent="0.35">
      <c r="B35" s="5">
        <v>2002</v>
      </c>
      <c r="C35" s="41">
        <v>988.58333333333314</v>
      </c>
      <c r="D35" s="34">
        <v>1.8100000000000002E-2</v>
      </c>
      <c r="E35" s="41">
        <f t="shared" si="0"/>
        <v>17.893358333333332</v>
      </c>
      <c r="F35" s="41">
        <f>E35*'Buyback Yield'!$L$6</f>
        <v>24.517434334093632</v>
      </c>
      <c r="G35" s="34">
        <f t="shared" si="1"/>
        <v>4.2900574223141162E-2</v>
      </c>
    </row>
    <row r="36" spans="2:7" x14ac:dyDescent="0.35">
      <c r="B36" s="5">
        <v>2003</v>
      </c>
      <c r="C36" s="41">
        <v>967.92500000000007</v>
      </c>
      <c r="D36" s="34">
        <v>1.61E-2</v>
      </c>
      <c r="E36" s="41">
        <f t="shared" si="0"/>
        <v>15.5835925</v>
      </c>
      <c r="F36" s="41">
        <f>E36*'Buyback Yield'!$L$6</f>
        <v>21.352599030908063</v>
      </c>
      <c r="G36" s="34">
        <f t="shared" si="1"/>
        <v>3.8160179281357606E-2</v>
      </c>
    </row>
    <row r="37" spans="2:7" x14ac:dyDescent="0.35">
      <c r="B37" s="5">
        <v>2004</v>
      </c>
      <c r="C37" s="41">
        <v>1133.95</v>
      </c>
      <c r="D37" s="34">
        <v>1.5699999999999999E-2</v>
      </c>
      <c r="E37" s="41">
        <f t="shared" si="0"/>
        <v>17.803014999999998</v>
      </c>
      <c r="F37" s="41">
        <f>E37*'Buyback Yield'!$L$6</f>
        <v>24.393646127248367</v>
      </c>
      <c r="G37" s="34">
        <f t="shared" si="1"/>
        <v>3.7212100293000892E-2</v>
      </c>
    </row>
    <row r="38" spans="2:7" x14ac:dyDescent="0.35">
      <c r="B38" s="5">
        <v>2005</v>
      </c>
      <c r="C38" s="41">
        <v>1207.7666666666664</v>
      </c>
      <c r="D38" s="34">
        <v>1.7899999999999999E-2</v>
      </c>
      <c r="E38" s="41">
        <f t="shared" si="0"/>
        <v>21.619023333333327</v>
      </c>
      <c r="F38" s="41">
        <f>E38*'Buyback Yield'!$L$6</f>
        <v>29.622331094483641</v>
      </c>
      <c r="G38" s="34">
        <f t="shared" si="1"/>
        <v>4.2426534728962809E-2</v>
      </c>
    </row>
    <row r="39" spans="2:7" x14ac:dyDescent="0.35">
      <c r="B39" s="5">
        <v>2006</v>
      </c>
      <c r="C39" s="41">
        <v>1318.3</v>
      </c>
      <c r="D39" s="34">
        <v>1.77E-2</v>
      </c>
      <c r="E39" s="41">
        <f t="shared" si="0"/>
        <v>23.333909999999999</v>
      </c>
      <c r="F39" s="41">
        <f>E39*'Buyback Yield'!$L$6</f>
        <v>31.972064468016345</v>
      </c>
      <c r="G39" s="34">
        <f t="shared" si="1"/>
        <v>4.1952495234784455E-2</v>
      </c>
    </row>
    <row r="40" spans="2:7" x14ac:dyDescent="0.35">
      <c r="B40" s="5">
        <v>2007</v>
      </c>
      <c r="C40" s="41">
        <v>1478.0999999999997</v>
      </c>
      <c r="D40" s="34">
        <v>1.9199999999999998E-2</v>
      </c>
      <c r="E40" s="41">
        <f t="shared" si="0"/>
        <v>28.379519999999992</v>
      </c>
      <c r="F40" s="41">
        <f>E40*'Buyback Yield'!$L$6</f>
        <v>38.885546529122593</v>
      </c>
      <c r="G40" s="34">
        <f t="shared" si="1"/>
        <v>4.550779144112211E-2</v>
      </c>
    </row>
    <row r="41" spans="2:7" x14ac:dyDescent="0.35">
      <c r="B41" s="5">
        <v>2008</v>
      </c>
      <c r="C41" s="41">
        <v>1215.2166666666665</v>
      </c>
      <c r="D41" s="34">
        <v>3.15E-2</v>
      </c>
      <c r="E41" s="41">
        <f t="shared" si="0"/>
        <v>38.279324999999993</v>
      </c>
      <c r="F41" s="41">
        <f>E41*'Buyback Yield'!$L$6</f>
        <v>52.450234302444365</v>
      </c>
      <c r="G41" s="34">
        <f t="shared" si="1"/>
        <v>7.4661220333090972E-2</v>
      </c>
    </row>
    <row r="42" spans="2:7" x14ac:dyDescent="0.35">
      <c r="B42" s="5">
        <v>2009</v>
      </c>
      <c r="C42" s="41">
        <v>948.51666666666688</v>
      </c>
      <c r="D42" s="34">
        <v>1.9699999999999999E-2</v>
      </c>
      <c r="E42" s="41">
        <f t="shared" si="0"/>
        <v>18.685778333333335</v>
      </c>
      <c r="F42" s="41">
        <f>E42*'Buyback Yield'!$L$6</f>
        <v>25.6032062139777</v>
      </c>
      <c r="G42" s="34">
        <f t="shared" si="1"/>
        <v>4.6692890176567997E-2</v>
      </c>
    </row>
    <row r="43" spans="2:7" x14ac:dyDescent="0.35">
      <c r="B43" s="5">
        <v>2010</v>
      </c>
      <c r="C43" s="41">
        <v>1130.675</v>
      </c>
      <c r="D43" s="34">
        <v>1.7999999999999999E-2</v>
      </c>
      <c r="E43" s="41">
        <f t="shared" si="0"/>
        <v>20.352149999999998</v>
      </c>
      <c r="F43" s="41">
        <f>E43*'Buyback Yield'!$L$6</f>
        <v>27.886464457210078</v>
      </c>
      <c r="G43" s="34">
        <f t="shared" si="1"/>
        <v>4.2663554476051982E-2</v>
      </c>
    </row>
    <row r="44" spans="2:7" x14ac:dyDescent="0.35">
      <c r="B44" s="5">
        <v>2011</v>
      </c>
      <c r="C44" s="41">
        <v>1280.7499999999998</v>
      </c>
      <c r="D44" s="34">
        <v>2.1100000000000001E-2</v>
      </c>
      <c r="E44" s="41">
        <f t="shared" si="0"/>
        <v>27.023824999999995</v>
      </c>
      <c r="F44" s="41">
        <f>E44*'Buyback Yield'!$L$6</f>
        <v>37.027976668821971</v>
      </c>
      <c r="G44" s="34">
        <f t="shared" si="1"/>
        <v>5.0011166635816499E-2</v>
      </c>
    </row>
    <row r="45" spans="2:7" x14ac:dyDescent="0.35">
      <c r="B45" s="5">
        <v>2012</v>
      </c>
      <c r="C45" s="41">
        <v>1386.5166666666667</v>
      </c>
      <c r="D45" s="34">
        <v>2.1899999999999999E-2</v>
      </c>
      <c r="E45" s="41">
        <f t="shared" si="0"/>
        <v>30.364715</v>
      </c>
      <c r="F45" s="41">
        <f>E45*'Buyback Yield'!$L$6</f>
        <v>41.605655697349604</v>
      </c>
      <c r="G45" s="34">
        <f t="shared" si="1"/>
        <v>5.190732461252992E-2</v>
      </c>
    </row>
    <row r="46" spans="2:7" x14ac:dyDescent="0.35">
      <c r="B46" s="5">
        <v>2013</v>
      </c>
      <c r="C46" s="41">
        <v>1652.291666666667</v>
      </c>
      <c r="D46" s="34">
        <v>1.89E-2</v>
      </c>
      <c r="E46" s="41">
        <f t="shared" si="0"/>
        <v>31.228312500000005</v>
      </c>
      <c r="F46" s="41">
        <f>E46*'Buyback Yield'!$L$6</f>
        <v>42.788954807718071</v>
      </c>
      <c r="G46" s="34">
        <f t="shared" si="1"/>
        <v>4.4796732199854583E-2</v>
      </c>
    </row>
    <row r="47" spans="2:7" x14ac:dyDescent="0.35">
      <c r="B47" s="5">
        <v>2014</v>
      </c>
      <c r="C47" s="41">
        <v>1944.4150000000002</v>
      </c>
      <c r="D47" s="34">
        <v>1.9199999999999998E-2</v>
      </c>
      <c r="E47" s="41">
        <f t="shared" si="0"/>
        <v>37.332768000000002</v>
      </c>
      <c r="F47" s="41">
        <f>E47*'Buyback Yield'!$L$6</f>
        <v>51.153264294989469</v>
      </c>
      <c r="G47" s="34">
        <f t="shared" si="1"/>
        <v>4.5507791441122117E-2</v>
      </c>
    </row>
    <row r="48" spans="2:7" x14ac:dyDescent="0.35">
      <c r="B48" s="5">
        <v>2015</v>
      </c>
      <c r="C48" s="41">
        <v>2051.9291666666663</v>
      </c>
      <c r="D48" s="34">
        <v>2.12E-2</v>
      </c>
      <c r="E48" s="41">
        <f t="shared" si="0"/>
        <v>43.500898333333325</v>
      </c>
      <c r="F48" s="41">
        <f>E48*'Buyback Yield'!$L$6</f>
        <v>59.604820877853641</v>
      </c>
      <c r="G48" s="34">
        <f t="shared" si="1"/>
        <v>5.0248186382905673E-2</v>
      </c>
    </row>
    <row r="49" spans="2:7" x14ac:dyDescent="0.35">
      <c r="B49" s="5">
        <v>2016</v>
      </c>
      <c r="C49" s="41">
        <v>2105.8283333333334</v>
      </c>
      <c r="D49" s="34">
        <v>2.0400000000000001E-2</v>
      </c>
      <c r="E49" s="41">
        <f t="shared" si="0"/>
        <v>42.958898000000005</v>
      </c>
      <c r="F49" s="41">
        <f>E49*'Buyback Yield'!$L$6</f>
        <v>58.862173391897826</v>
      </c>
      <c r="G49" s="34">
        <f t="shared" si="1"/>
        <v>4.8352028406192259E-2</v>
      </c>
    </row>
    <row r="50" spans="2:7" x14ac:dyDescent="0.35">
      <c r="B50" s="5">
        <v>2017</v>
      </c>
      <c r="C50" s="41">
        <v>2465.2000000000003</v>
      </c>
      <c r="D50" s="34">
        <v>1.83E-2</v>
      </c>
      <c r="E50" s="41">
        <f t="shared" si="0"/>
        <v>45.113160000000008</v>
      </c>
      <c r="F50" s="41">
        <f>E50*'Buyback Yield'!$L$6</f>
        <v>61.813937735936086</v>
      </c>
      <c r="G50" s="34">
        <f t="shared" si="1"/>
        <v>4.3374613717319516E-2</v>
      </c>
    </row>
    <row r="51" spans="2:7" x14ac:dyDescent="0.35">
      <c r="B51" s="5">
        <v>2018</v>
      </c>
      <c r="C51" s="41">
        <v>2738.3958333333335</v>
      </c>
      <c r="D51" s="34">
        <v>2.1399999999999999E-2</v>
      </c>
      <c r="E51" s="41">
        <f t="shared" si="0"/>
        <v>58.601670833333337</v>
      </c>
      <c r="F51" s="41">
        <f>E51*'Buyback Yield'!$L$6</f>
        <v>80.295861165865759</v>
      </c>
      <c r="G51" s="34">
        <f t="shared" si="1"/>
        <v>5.0722225877084026E-2</v>
      </c>
    </row>
    <row r="52" spans="2:7" x14ac:dyDescent="0.35">
      <c r="B52" s="5">
        <v>2019</v>
      </c>
      <c r="C52" s="41">
        <v>2937.9616666666666</v>
      </c>
      <c r="D52" s="34">
        <v>1.8200000000000001E-2</v>
      </c>
      <c r="E52" s="41">
        <f t="shared" si="0"/>
        <v>53.470902333333335</v>
      </c>
      <c r="F52" s="41">
        <f>E52*'Buyback Yield'!$L$6</f>
        <v>73.265695143434556</v>
      </c>
      <c r="G52" s="34">
        <f t="shared" si="1"/>
        <v>4.3137593970230342E-2</v>
      </c>
    </row>
    <row r="53" spans="2:7" x14ac:dyDescent="0.35">
      <c r="B53" s="5">
        <v>2020</v>
      </c>
      <c r="C53" s="41">
        <v>3216.9541666666664</v>
      </c>
      <c r="D53" s="34">
        <v>1.5100000000000001E-2</v>
      </c>
      <c r="E53" s="41">
        <f t="shared" si="0"/>
        <v>48.576007916666661</v>
      </c>
      <c r="F53" s="41">
        <f>E53*'Buyback Yield'!$L$6</f>
        <v>66.558723193435597</v>
      </c>
      <c r="G53" s="34">
        <f t="shared" si="1"/>
        <v>3.5789981810465832E-2</v>
      </c>
    </row>
    <row r="54" spans="2:7" x14ac:dyDescent="0.35">
      <c r="B54" s="5">
        <v>2021</v>
      </c>
      <c r="C54" s="41">
        <v>4278.7583333333332</v>
      </c>
      <c r="D54" s="34">
        <v>1.24E-2</v>
      </c>
      <c r="E54" s="41">
        <f t="shared" si="0"/>
        <v>53.056603333333328</v>
      </c>
      <c r="F54" s="41">
        <f>E54*'Buyback Yield'!$L$6</f>
        <v>72.698023701441556</v>
      </c>
      <c r="G54" s="34">
        <f t="shared" si="1"/>
        <v>2.9390448639058035E-2</v>
      </c>
    </row>
    <row r="55" spans="2:7" x14ac:dyDescent="0.35">
      <c r="B55" s="5">
        <v>2022</v>
      </c>
      <c r="C55" s="41">
        <v>4077.6550000000011</v>
      </c>
      <c r="D55" s="34">
        <v>1.78E-2</v>
      </c>
      <c r="E55" s="41">
        <f t="shared" si="0"/>
        <v>72.582259000000022</v>
      </c>
      <c r="F55" s="41">
        <f>E55*'Buyback Yield'!$L$6</f>
        <v>99.452027713411951</v>
      </c>
      <c r="G55" s="34">
        <f t="shared" si="1"/>
        <v>4.2189514981873635E-2</v>
      </c>
    </row>
    <row r="56" spans="2:7" x14ac:dyDescent="0.35">
      <c r="B56" s="5">
        <v>2023</v>
      </c>
      <c r="C56" s="41">
        <v>4322.6541666666681</v>
      </c>
      <c r="D56" s="34">
        <v>1.47E-2</v>
      </c>
      <c r="E56" s="41">
        <f t="shared" si="0"/>
        <v>63.543016250000015</v>
      </c>
      <c r="F56" s="41">
        <f>E56*'Buyback Yield'!$L$6</f>
        <v>87.066480158585108</v>
      </c>
      <c r="G56" s="34">
        <f t="shared" si="1"/>
        <v>3.4841902822109118E-2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A6CB-701C-4545-BC23-9F28052FD6BE}">
  <dimension ref="B2:R653"/>
  <sheetViews>
    <sheetView showGridLines="0" topLeftCell="I1" workbookViewId="0">
      <selection activeCell="Q16" sqref="Q16"/>
    </sheetView>
  </sheetViews>
  <sheetFormatPr defaultRowHeight="14.5" x14ac:dyDescent="0.35"/>
  <cols>
    <col min="1" max="1" width="8.796875" style="5"/>
    <col min="2" max="2" width="12.09765625" style="5" customWidth="1"/>
    <col min="3" max="8" width="8.796875" style="5"/>
    <col min="9" max="9" width="13.8984375" style="5" customWidth="1"/>
    <col min="10" max="11" width="8.796875" style="5"/>
    <col min="12" max="12" width="9.5" style="5" customWidth="1"/>
    <col min="13" max="13" width="18" style="5" customWidth="1"/>
    <col min="14" max="15" width="8.796875" style="5"/>
    <col min="16" max="16" width="21.296875" style="5" customWidth="1"/>
    <col min="17" max="16384" width="8.796875" style="5"/>
  </cols>
  <sheetData>
    <row r="2" spans="2:18" x14ac:dyDescent="0.35"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129</v>
      </c>
      <c r="L2" s="5" t="s">
        <v>0</v>
      </c>
      <c r="M2" s="5" t="s">
        <v>130</v>
      </c>
      <c r="N2" s="5" t="s">
        <v>131</v>
      </c>
    </row>
    <row r="3" spans="2:18" x14ac:dyDescent="0.35">
      <c r="B3" s="42">
        <v>25600</v>
      </c>
      <c r="C3" s="5">
        <v>89.5</v>
      </c>
      <c r="D3" s="5">
        <v>89.5</v>
      </c>
      <c r="E3" s="5">
        <v>89.5</v>
      </c>
      <c r="F3" s="5">
        <v>89.5</v>
      </c>
      <c r="H3" s="22">
        <v>5.2900000000000003E-2</v>
      </c>
      <c r="L3" s="5">
        <v>1970</v>
      </c>
      <c r="M3" s="23">
        <f>AVERAGEIFS($C$3:$C$649,$B$3:$B$649,"&gt;="&amp;DATE(L3,1,1),$B$3:$B$649,"&lt;="&amp;DATE(L3,12,1))</f>
        <v>83.281818181818196</v>
      </c>
    </row>
    <row r="4" spans="2:18" x14ac:dyDescent="0.35">
      <c r="B4" s="42">
        <v>25628</v>
      </c>
      <c r="C4" s="5">
        <v>89.6</v>
      </c>
      <c r="D4" s="5">
        <v>89.6</v>
      </c>
      <c r="E4" s="5">
        <v>89.6</v>
      </c>
      <c r="F4" s="5">
        <v>89.6</v>
      </c>
      <c r="H4" s="22">
        <v>1.1000000000000001E-3</v>
      </c>
      <c r="I4" s="34">
        <f>F4/F3-1</f>
        <v>1.1173184357540222E-3</v>
      </c>
      <c r="L4" s="5">
        <f>L3+1</f>
        <v>1971</v>
      </c>
      <c r="M4" s="23">
        <f t="shared" ref="M4:M56" si="0">AVERAGEIFS($C$3:$C$649,$B$3:$B$649,"&gt;="&amp;DATE(L4,1,1),$B$3:$B$649,"&lt;="&amp;DATE(L4,12,1))</f>
        <v>98.291666666666671</v>
      </c>
      <c r="N4" s="34">
        <f>M4/M3-1</f>
        <v>0.18022959647782244</v>
      </c>
      <c r="P4" s="8" t="s">
        <v>132</v>
      </c>
      <c r="Q4" s="8" t="s">
        <v>121</v>
      </c>
      <c r="R4" s="40">
        <f>_xlfn.RRI(20,M37,M56)</f>
        <v>6.9197240705879182E-2</v>
      </c>
    </row>
    <row r="5" spans="2:18" x14ac:dyDescent="0.35">
      <c r="B5" s="42">
        <v>25659</v>
      </c>
      <c r="C5" s="5">
        <v>81.5</v>
      </c>
      <c r="D5" s="5">
        <v>81.5</v>
      </c>
      <c r="E5" s="5">
        <v>81.5</v>
      </c>
      <c r="F5" s="5">
        <v>81.5</v>
      </c>
      <c r="H5" s="22">
        <v>-9.0399999999999994E-2</v>
      </c>
      <c r="I5" s="34">
        <f t="shared" ref="I5:I68" si="1">F5/F4-1</f>
        <v>-9.0401785714285698E-2</v>
      </c>
      <c r="L5" s="5">
        <f t="shared" ref="L5:L56" si="2">L4+1</f>
        <v>1972</v>
      </c>
      <c r="M5" s="23">
        <f t="shared" si="0"/>
        <v>109.77499999999999</v>
      </c>
      <c r="N5" s="34">
        <f t="shared" ref="N5:N56" si="3">M5/M4-1</f>
        <v>0.11682916490038142</v>
      </c>
    </row>
    <row r="6" spans="2:18" x14ac:dyDescent="0.35">
      <c r="B6" s="42">
        <v>25689</v>
      </c>
      <c r="C6" s="5">
        <v>76.5</v>
      </c>
      <c r="D6" s="5">
        <v>76.5</v>
      </c>
      <c r="E6" s="5">
        <v>76.5</v>
      </c>
      <c r="F6" s="5">
        <v>76.5</v>
      </c>
      <c r="H6" s="22">
        <v>-6.13E-2</v>
      </c>
      <c r="I6" s="34">
        <f t="shared" si="1"/>
        <v>-6.1349693251533721E-2</v>
      </c>
      <c r="L6" s="5">
        <f t="shared" si="2"/>
        <v>1973</v>
      </c>
      <c r="M6" s="23">
        <f t="shared" si="0"/>
        <v>106.50833333333334</v>
      </c>
      <c r="N6" s="34">
        <f t="shared" si="3"/>
        <v>-2.9757838001973624E-2</v>
      </c>
      <c r="P6" s="8" t="s">
        <v>132</v>
      </c>
      <c r="Q6" s="8" t="s">
        <v>123</v>
      </c>
      <c r="R6" s="40">
        <f>_xlfn.RRI(15,M42,M56)</f>
        <v>0.10640390940924327</v>
      </c>
    </row>
    <row r="7" spans="2:18" x14ac:dyDescent="0.35">
      <c r="B7" s="42">
        <v>25720</v>
      </c>
      <c r="C7" s="5">
        <v>72.7</v>
      </c>
      <c r="D7" s="5">
        <v>72.7</v>
      </c>
      <c r="E7" s="5">
        <v>72.7</v>
      </c>
      <c r="F7" s="5">
        <v>72.7</v>
      </c>
      <c r="H7" s="22">
        <v>-4.9700000000000001E-2</v>
      </c>
      <c r="I7" s="34">
        <f t="shared" si="1"/>
        <v>-4.967320261437902E-2</v>
      </c>
      <c r="L7" s="5">
        <f t="shared" si="2"/>
        <v>1974</v>
      </c>
      <c r="M7" s="23">
        <f t="shared" si="0"/>
        <v>81.491666666666674</v>
      </c>
      <c r="N7" s="34">
        <f t="shared" si="3"/>
        <v>-0.23487989985134183</v>
      </c>
    </row>
    <row r="8" spans="2:18" x14ac:dyDescent="0.35">
      <c r="B8" s="42">
        <v>25750</v>
      </c>
      <c r="C8" s="5">
        <v>78</v>
      </c>
      <c r="D8" s="5">
        <v>78</v>
      </c>
      <c r="E8" s="5">
        <v>78</v>
      </c>
      <c r="F8" s="5">
        <v>78</v>
      </c>
      <c r="H8" s="22">
        <v>7.2900000000000006E-2</v>
      </c>
      <c r="I8" s="34">
        <f t="shared" si="1"/>
        <v>7.2902338376891196E-2</v>
      </c>
      <c r="L8" s="5">
        <f t="shared" si="2"/>
        <v>1975</v>
      </c>
      <c r="M8" s="23">
        <f t="shared" si="0"/>
        <v>87.141666666666666</v>
      </c>
      <c r="N8" s="34">
        <f t="shared" si="3"/>
        <v>6.9332242560588897E-2</v>
      </c>
      <c r="P8" s="8" t="s">
        <v>132</v>
      </c>
      <c r="Q8" s="8" t="s">
        <v>133</v>
      </c>
      <c r="R8" s="40">
        <f>_xlfn.RRI(10,M47,M56)</f>
        <v>8.316882721420682E-2</v>
      </c>
    </row>
    <row r="9" spans="2:18" x14ac:dyDescent="0.35">
      <c r="B9" s="42">
        <v>25781</v>
      </c>
      <c r="C9" s="5">
        <v>81.5</v>
      </c>
      <c r="D9" s="5">
        <v>81.5</v>
      </c>
      <c r="E9" s="5">
        <v>81.5</v>
      </c>
      <c r="F9" s="5">
        <v>81.5</v>
      </c>
      <c r="H9" s="22">
        <v>4.4900000000000002E-2</v>
      </c>
      <c r="I9" s="34">
        <f t="shared" si="1"/>
        <v>4.4871794871794934E-2</v>
      </c>
      <c r="L9" s="5">
        <f t="shared" si="2"/>
        <v>1976</v>
      </c>
      <c r="M9" s="23">
        <f t="shared" si="0"/>
        <v>102.79166666666667</v>
      </c>
      <c r="N9" s="34">
        <f t="shared" si="3"/>
        <v>0.17959261738548338</v>
      </c>
    </row>
    <row r="10" spans="2:18" x14ac:dyDescent="0.35">
      <c r="B10" s="42">
        <v>25812</v>
      </c>
      <c r="C10" s="5">
        <v>84.2</v>
      </c>
      <c r="D10" s="5">
        <v>84.2</v>
      </c>
      <c r="E10" s="5">
        <v>84.2</v>
      </c>
      <c r="F10" s="5">
        <v>84.2</v>
      </c>
      <c r="H10" s="22">
        <v>3.3099999999999997E-2</v>
      </c>
      <c r="I10" s="34">
        <f t="shared" si="1"/>
        <v>3.3128834355828252E-2</v>
      </c>
      <c r="L10" s="5">
        <f t="shared" si="2"/>
        <v>1977</v>
      </c>
      <c r="M10" s="23">
        <f t="shared" si="0"/>
        <v>97.458333333333314</v>
      </c>
      <c r="N10" s="34">
        <f t="shared" si="3"/>
        <v>-5.1884880421564916E-2</v>
      </c>
      <c r="P10" s="8" t="s">
        <v>132</v>
      </c>
      <c r="Q10" s="8" t="s">
        <v>124</v>
      </c>
      <c r="R10" s="40">
        <f>_xlfn.RRI(7,M50,M56)</f>
        <v>8.3534188054148251E-2</v>
      </c>
    </row>
    <row r="11" spans="2:18" x14ac:dyDescent="0.35">
      <c r="B11" s="42">
        <v>25842</v>
      </c>
      <c r="C11" s="5">
        <v>83.2</v>
      </c>
      <c r="D11" s="5">
        <v>83.2</v>
      </c>
      <c r="E11" s="5">
        <v>83.2</v>
      </c>
      <c r="F11" s="5">
        <v>83.2</v>
      </c>
      <c r="H11" s="22">
        <v>-1.1900000000000001E-2</v>
      </c>
      <c r="I11" s="34">
        <f t="shared" si="1"/>
        <v>-1.1876484560570111E-2</v>
      </c>
      <c r="L11" s="5">
        <f t="shared" si="2"/>
        <v>1978</v>
      </c>
      <c r="M11" s="23">
        <f t="shared" si="0"/>
        <v>95.449999999999989</v>
      </c>
      <c r="N11" s="34">
        <f t="shared" si="3"/>
        <v>-2.0607097050021284E-2</v>
      </c>
    </row>
    <row r="12" spans="2:18" x14ac:dyDescent="0.35">
      <c r="B12" s="42">
        <v>25873</v>
      </c>
      <c r="C12" s="5">
        <v>87.2</v>
      </c>
      <c r="D12" s="5">
        <v>87.2</v>
      </c>
      <c r="E12" s="5">
        <v>87.2</v>
      </c>
      <c r="F12" s="5">
        <v>87.2</v>
      </c>
      <c r="H12" s="22">
        <v>4.8099999999999997E-2</v>
      </c>
      <c r="I12" s="34">
        <f t="shared" si="1"/>
        <v>4.8076923076923128E-2</v>
      </c>
      <c r="L12" s="5">
        <f t="shared" si="2"/>
        <v>1979</v>
      </c>
      <c r="M12" s="23">
        <f t="shared" si="0"/>
        <v>103.32499999999999</v>
      </c>
      <c r="N12" s="34">
        <f t="shared" si="3"/>
        <v>8.2503928758512313E-2</v>
      </c>
      <c r="P12" s="8" t="s">
        <v>132</v>
      </c>
      <c r="Q12" s="8" t="s">
        <v>125</v>
      </c>
      <c r="R12" s="40">
        <f>_xlfn.RRI(5,M52,M56)</f>
        <v>8.0291286785080684E-2</v>
      </c>
    </row>
    <row r="13" spans="2:18" x14ac:dyDescent="0.35">
      <c r="B13" s="42">
        <v>25903</v>
      </c>
      <c r="C13" s="5">
        <v>92.2</v>
      </c>
      <c r="D13" s="5">
        <v>92.2</v>
      </c>
      <c r="E13" s="5">
        <v>92.2</v>
      </c>
      <c r="F13" s="5">
        <v>92.2</v>
      </c>
      <c r="H13" s="22">
        <v>5.7299999999999997E-2</v>
      </c>
      <c r="I13" s="34">
        <f t="shared" si="1"/>
        <v>5.7339449541284448E-2</v>
      </c>
      <c r="L13" s="5">
        <f t="shared" si="2"/>
        <v>1980</v>
      </c>
      <c r="M13" s="23">
        <f t="shared" si="0"/>
        <v>119.59166666666668</v>
      </c>
      <c r="N13" s="34">
        <f t="shared" si="3"/>
        <v>0.15743205097185275</v>
      </c>
    </row>
    <row r="14" spans="2:18" x14ac:dyDescent="0.35">
      <c r="B14" s="42">
        <v>25934</v>
      </c>
      <c r="C14" s="5">
        <v>95.9</v>
      </c>
      <c r="D14" s="5">
        <v>95.9</v>
      </c>
      <c r="E14" s="5">
        <v>95.9</v>
      </c>
      <c r="F14" s="5">
        <v>95.9</v>
      </c>
      <c r="H14" s="22">
        <v>4.0099999999999997E-2</v>
      </c>
      <c r="I14" s="34">
        <f t="shared" si="1"/>
        <v>4.0130151843817741E-2</v>
      </c>
      <c r="L14" s="5">
        <f t="shared" si="2"/>
        <v>1981</v>
      </c>
      <c r="M14" s="23">
        <f t="shared" si="0"/>
        <v>127.85000000000001</v>
      </c>
      <c r="N14" s="34">
        <f t="shared" si="3"/>
        <v>6.905442129468331E-2</v>
      </c>
    </row>
    <row r="15" spans="2:18" x14ac:dyDescent="0.35">
      <c r="B15" s="42">
        <v>25965</v>
      </c>
      <c r="C15" s="5">
        <v>96.8</v>
      </c>
      <c r="D15" s="5">
        <v>96.8</v>
      </c>
      <c r="E15" s="5">
        <v>96.8</v>
      </c>
      <c r="F15" s="5">
        <v>96.8</v>
      </c>
      <c r="H15" s="22">
        <v>9.4000000000000004E-3</v>
      </c>
      <c r="I15" s="34">
        <f t="shared" si="1"/>
        <v>9.3847758081333499E-3</v>
      </c>
      <c r="L15" s="5">
        <f t="shared" si="2"/>
        <v>1982</v>
      </c>
      <c r="M15" s="23">
        <f t="shared" si="0"/>
        <v>120.26666666666667</v>
      </c>
      <c r="N15" s="34">
        <f t="shared" si="3"/>
        <v>-5.9314300612697268E-2</v>
      </c>
    </row>
    <row r="16" spans="2:18" x14ac:dyDescent="0.35">
      <c r="B16" s="42">
        <v>25993</v>
      </c>
      <c r="C16" s="5">
        <v>100.3</v>
      </c>
      <c r="D16" s="5">
        <v>100.3</v>
      </c>
      <c r="E16" s="5">
        <v>100.3</v>
      </c>
      <c r="F16" s="5">
        <v>100.3</v>
      </c>
      <c r="H16" s="22">
        <v>3.6200000000000003E-2</v>
      </c>
      <c r="I16" s="34">
        <f t="shared" si="1"/>
        <v>3.6157024793388448E-2</v>
      </c>
      <c r="L16" s="5">
        <f t="shared" si="2"/>
        <v>1983</v>
      </c>
      <c r="M16" s="23">
        <f t="shared" si="0"/>
        <v>160.77500000000001</v>
      </c>
      <c r="N16" s="34">
        <f t="shared" si="3"/>
        <v>0.33682095343680718</v>
      </c>
    </row>
    <row r="17" spans="2:14" x14ac:dyDescent="0.35">
      <c r="B17" s="42">
        <v>26024</v>
      </c>
      <c r="C17" s="5">
        <v>104</v>
      </c>
      <c r="D17" s="5">
        <v>104</v>
      </c>
      <c r="E17" s="5">
        <v>104</v>
      </c>
      <c r="F17" s="5">
        <v>104</v>
      </c>
      <c r="H17" s="22">
        <v>3.6900000000000002E-2</v>
      </c>
      <c r="I17" s="34">
        <f t="shared" si="1"/>
        <v>3.6889332003988029E-2</v>
      </c>
      <c r="L17" s="5">
        <f t="shared" si="2"/>
        <v>1984</v>
      </c>
      <c r="M17" s="23">
        <f t="shared" si="0"/>
        <v>160.33333333333331</v>
      </c>
      <c r="N17" s="34">
        <f t="shared" si="3"/>
        <v>-2.7471103509045802E-3</v>
      </c>
    </row>
    <row r="18" spans="2:14" x14ac:dyDescent="0.35">
      <c r="B18" s="42">
        <v>26054</v>
      </c>
      <c r="C18" s="5">
        <v>99.6</v>
      </c>
      <c r="D18" s="5">
        <v>99.6</v>
      </c>
      <c r="E18" s="5">
        <v>99.6</v>
      </c>
      <c r="F18" s="5">
        <v>99.6</v>
      </c>
      <c r="H18" s="22">
        <v>-4.2299999999999997E-2</v>
      </c>
      <c r="I18" s="34">
        <f t="shared" si="1"/>
        <v>-4.2307692307692379E-2</v>
      </c>
      <c r="L18" s="5">
        <f t="shared" si="2"/>
        <v>1985</v>
      </c>
      <c r="M18" s="23">
        <f t="shared" si="0"/>
        <v>188.96666666666667</v>
      </c>
      <c r="N18" s="34">
        <f t="shared" si="3"/>
        <v>0.17858627858627885</v>
      </c>
    </row>
    <row r="19" spans="2:14" x14ac:dyDescent="0.35">
      <c r="B19" s="42">
        <v>26085</v>
      </c>
      <c r="C19" s="5">
        <v>99.7</v>
      </c>
      <c r="D19" s="5">
        <v>99.7</v>
      </c>
      <c r="E19" s="5">
        <v>99.7</v>
      </c>
      <c r="F19" s="5">
        <v>99.7</v>
      </c>
      <c r="H19" s="22">
        <v>1E-3</v>
      </c>
      <c r="I19" s="34">
        <f t="shared" si="1"/>
        <v>1.0040160642570406E-3</v>
      </c>
      <c r="L19" s="5">
        <f t="shared" si="2"/>
        <v>1986</v>
      </c>
      <c r="M19" s="23">
        <f t="shared" si="0"/>
        <v>238.9083333333333</v>
      </c>
      <c r="N19" s="34">
        <f t="shared" si="3"/>
        <v>0.26428823425648251</v>
      </c>
    </row>
    <row r="20" spans="2:14" x14ac:dyDescent="0.35">
      <c r="B20" s="42">
        <v>26115</v>
      </c>
      <c r="C20" s="5">
        <v>95.6</v>
      </c>
      <c r="D20" s="5">
        <v>95.6</v>
      </c>
      <c r="E20" s="5">
        <v>95.6</v>
      </c>
      <c r="F20" s="5">
        <v>95.6</v>
      </c>
      <c r="H20" s="22">
        <v>-4.1099999999999998E-2</v>
      </c>
      <c r="I20" s="34">
        <f t="shared" si="1"/>
        <v>-4.112337011033107E-2</v>
      </c>
      <c r="L20" s="5">
        <f t="shared" si="2"/>
        <v>1987</v>
      </c>
      <c r="M20" s="23">
        <f t="shared" si="0"/>
        <v>286.00000000000006</v>
      </c>
      <c r="N20" s="34">
        <f t="shared" si="3"/>
        <v>0.19711186298789674</v>
      </c>
    </row>
    <row r="21" spans="2:14" x14ac:dyDescent="0.35">
      <c r="B21" s="42">
        <v>26146</v>
      </c>
      <c r="C21" s="5">
        <v>99</v>
      </c>
      <c r="D21" s="5">
        <v>99</v>
      </c>
      <c r="E21" s="5">
        <v>99</v>
      </c>
      <c r="F21" s="5">
        <v>99</v>
      </c>
      <c r="H21" s="22">
        <v>3.56E-2</v>
      </c>
      <c r="I21" s="34">
        <f t="shared" si="1"/>
        <v>3.5564853556485421E-2</v>
      </c>
      <c r="L21" s="5">
        <f t="shared" si="2"/>
        <v>1988</v>
      </c>
      <c r="M21" s="23">
        <f t="shared" si="0"/>
        <v>268.05</v>
      </c>
      <c r="N21" s="34">
        <f t="shared" si="3"/>
        <v>-6.2762237762237882E-2</v>
      </c>
    </row>
    <row r="22" spans="2:14" x14ac:dyDescent="0.35">
      <c r="B22" s="42">
        <v>26177</v>
      </c>
      <c r="C22" s="5">
        <v>98.3</v>
      </c>
      <c r="D22" s="5">
        <v>98.3</v>
      </c>
      <c r="E22" s="5">
        <v>98.3</v>
      </c>
      <c r="F22" s="5">
        <v>98.3</v>
      </c>
      <c r="H22" s="22">
        <v>-7.1000000000000004E-3</v>
      </c>
      <c r="I22" s="34">
        <f t="shared" si="1"/>
        <v>-7.0707070707071162E-3</v>
      </c>
      <c r="L22" s="5">
        <f t="shared" si="2"/>
        <v>1989</v>
      </c>
      <c r="M22" s="23">
        <f t="shared" si="0"/>
        <v>326.31666666666666</v>
      </c>
      <c r="N22" s="34">
        <f t="shared" si="3"/>
        <v>0.21737238077473098</v>
      </c>
    </row>
    <row r="23" spans="2:14" x14ac:dyDescent="0.35">
      <c r="B23" s="42">
        <v>26207</v>
      </c>
      <c r="C23" s="5">
        <v>94.2</v>
      </c>
      <c r="D23" s="5">
        <v>94.2</v>
      </c>
      <c r="E23" s="5">
        <v>94.2</v>
      </c>
      <c r="F23" s="5">
        <v>94.2</v>
      </c>
      <c r="H23" s="22">
        <v>-4.1700000000000001E-2</v>
      </c>
      <c r="I23" s="34">
        <f t="shared" si="1"/>
        <v>-4.1709053916581862E-2</v>
      </c>
      <c r="L23" s="5">
        <f t="shared" si="2"/>
        <v>1990</v>
      </c>
      <c r="M23" s="23">
        <f t="shared" si="0"/>
        <v>332.67499999999995</v>
      </c>
      <c r="N23" s="34">
        <f t="shared" si="3"/>
        <v>1.9485162674293788E-2</v>
      </c>
    </row>
    <row r="24" spans="2:14" x14ac:dyDescent="0.35">
      <c r="B24" s="42">
        <v>26238</v>
      </c>
      <c r="C24" s="5">
        <v>94</v>
      </c>
      <c r="D24" s="5">
        <v>94</v>
      </c>
      <c r="E24" s="5">
        <v>94</v>
      </c>
      <c r="F24" s="5">
        <v>94</v>
      </c>
      <c r="H24" s="22">
        <v>-2.0999999999999999E-3</v>
      </c>
      <c r="I24" s="34">
        <f t="shared" si="1"/>
        <v>-2.1231422505307851E-3</v>
      </c>
      <c r="L24" s="5">
        <f t="shared" si="2"/>
        <v>1991</v>
      </c>
      <c r="M24" s="23">
        <f t="shared" si="0"/>
        <v>381.54166666666674</v>
      </c>
      <c r="N24" s="34">
        <f t="shared" si="3"/>
        <v>0.14689010796322766</v>
      </c>
    </row>
    <row r="25" spans="2:14" x14ac:dyDescent="0.35">
      <c r="B25" s="42">
        <v>26268</v>
      </c>
      <c r="C25" s="5">
        <v>102.1</v>
      </c>
      <c r="D25" s="5">
        <v>102.1</v>
      </c>
      <c r="E25" s="5">
        <v>102.1</v>
      </c>
      <c r="F25" s="5">
        <v>102.1</v>
      </c>
      <c r="H25" s="22">
        <v>8.6199999999999999E-2</v>
      </c>
      <c r="I25" s="34">
        <f t="shared" si="1"/>
        <v>8.6170212765957377E-2</v>
      </c>
      <c r="L25" s="5">
        <f t="shared" si="2"/>
        <v>1992</v>
      </c>
      <c r="M25" s="23">
        <f t="shared" si="0"/>
        <v>417.11666666666662</v>
      </c>
      <c r="N25" s="34">
        <f t="shared" si="3"/>
        <v>9.3240144152014537E-2</v>
      </c>
    </row>
    <row r="26" spans="2:14" x14ac:dyDescent="0.35">
      <c r="B26" s="42">
        <v>26299</v>
      </c>
      <c r="C26" s="5">
        <v>103.9</v>
      </c>
      <c r="D26" s="5">
        <v>103.9</v>
      </c>
      <c r="E26" s="5">
        <v>103.9</v>
      </c>
      <c r="F26" s="5">
        <v>103.9</v>
      </c>
      <c r="H26" s="22">
        <v>1.7600000000000001E-2</v>
      </c>
      <c r="I26" s="34">
        <f t="shared" si="1"/>
        <v>1.7629774730656411E-2</v>
      </c>
      <c r="L26" s="5">
        <f t="shared" si="2"/>
        <v>1993</v>
      </c>
      <c r="M26" s="23">
        <f t="shared" si="0"/>
        <v>453.45</v>
      </c>
      <c r="N26" s="34">
        <f t="shared" si="3"/>
        <v>8.7105925600351686E-2</v>
      </c>
    </row>
    <row r="27" spans="2:14" x14ac:dyDescent="0.35">
      <c r="B27" s="42">
        <v>26330</v>
      </c>
      <c r="C27" s="5">
        <v>106.6</v>
      </c>
      <c r="D27" s="5">
        <v>106.6</v>
      </c>
      <c r="E27" s="5">
        <v>106.6</v>
      </c>
      <c r="F27" s="5">
        <v>106.6</v>
      </c>
      <c r="H27" s="22">
        <v>2.5999999999999999E-2</v>
      </c>
      <c r="I27" s="34">
        <f t="shared" si="1"/>
        <v>2.5986525505293345E-2</v>
      </c>
      <c r="L27" s="5">
        <f t="shared" si="2"/>
        <v>1994</v>
      </c>
      <c r="M27" s="23">
        <f t="shared" si="0"/>
        <v>460.67500000000001</v>
      </c>
      <c r="N27" s="34">
        <f t="shared" si="3"/>
        <v>1.5933399492777722E-2</v>
      </c>
    </row>
    <row r="28" spans="2:14" x14ac:dyDescent="0.35">
      <c r="B28" s="42">
        <v>26359</v>
      </c>
      <c r="C28" s="5">
        <v>107.2</v>
      </c>
      <c r="D28" s="5">
        <v>107.2</v>
      </c>
      <c r="E28" s="5">
        <v>107.2</v>
      </c>
      <c r="F28" s="5">
        <v>107.2</v>
      </c>
      <c r="H28" s="22">
        <v>5.5999999999999999E-3</v>
      </c>
      <c r="I28" s="34">
        <f t="shared" si="1"/>
        <v>5.6285178236399336E-3</v>
      </c>
      <c r="L28" s="5">
        <f t="shared" si="2"/>
        <v>1995</v>
      </c>
      <c r="M28" s="23">
        <f t="shared" si="0"/>
        <v>546.88333333333321</v>
      </c>
      <c r="N28" s="34">
        <f t="shared" si="3"/>
        <v>0.18713482028183259</v>
      </c>
    </row>
    <row r="29" spans="2:14" x14ac:dyDescent="0.35">
      <c r="B29" s="42">
        <v>26390</v>
      </c>
      <c r="C29" s="5">
        <v>107.7</v>
      </c>
      <c r="D29" s="5">
        <v>107.7</v>
      </c>
      <c r="E29" s="5">
        <v>107.7</v>
      </c>
      <c r="F29" s="5">
        <v>107.7</v>
      </c>
      <c r="H29" s="22">
        <v>4.7000000000000002E-3</v>
      </c>
      <c r="I29" s="34">
        <f t="shared" si="1"/>
        <v>4.6641791044776948E-3</v>
      </c>
      <c r="L29" s="5">
        <f t="shared" si="2"/>
        <v>1996</v>
      </c>
      <c r="M29" s="23">
        <f t="shared" si="0"/>
        <v>674.8416666666667</v>
      </c>
      <c r="N29" s="34">
        <f t="shared" si="3"/>
        <v>0.23397738701124582</v>
      </c>
    </row>
    <row r="30" spans="2:14" x14ac:dyDescent="0.35">
      <c r="B30" s="42">
        <v>26420</v>
      </c>
      <c r="C30" s="5">
        <v>109.5</v>
      </c>
      <c r="D30" s="5">
        <v>109.5</v>
      </c>
      <c r="E30" s="5">
        <v>109.5</v>
      </c>
      <c r="F30" s="5">
        <v>109.5</v>
      </c>
      <c r="H30" s="22">
        <v>1.67E-2</v>
      </c>
      <c r="I30" s="34">
        <f t="shared" si="1"/>
        <v>1.6713091922005541E-2</v>
      </c>
      <c r="L30" s="5">
        <f t="shared" si="2"/>
        <v>1997</v>
      </c>
      <c r="M30" s="23">
        <f t="shared" si="0"/>
        <v>875.85833333333323</v>
      </c>
      <c r="N30" s="34">
        <f t="shared" si="3"/>
        <v>0.29787234042553168</v>
      </c>
    </row>
    <row r="31" spans="2:14" x14ac:dyDescent="0.35">
      <c r="B31" s="42">
        <v>26451</v>
      </c>
      <c r="C31" s="5">
        <v>107.1</v>
      </c>
      <c r="D31" s="5">
        <v>107.1</v>
      </c>
      <c r="E31" s="5">
        <v>107.1</v>
      </c>
      <c r="F31" s="5">
        <v>107.1</v>
      </c>
      <c r="H31" s="22">
        <v>-2.1899999999999999E-2</v>
      </c>
      <c r="I31" s="34">
        <f t="shared" si="1"/>
        <v>-2.1917808219178103E-2</v>
      </c>
      <c r="L31" s="5">
        <f t="shared" si="2"/>
        <v>1998</v>
      </c>
      <c r="M31" s="23">
        <f t="shared" si="0"/>
        <v>1087.8583333333333</v>
      </c>
      <c r="N31" s="34">
        <f t="shared" si="3"/>
        <v>0.24204827645262283</v>
      </c>
    </row>
    <row r="32" spans="2:14" x14ac:dyDescent="0.35">
      <c r="B32" s="42">
        <v>26481</v>
      </c>
      <c r="C32" s="5">
        <v>107.4</v>
      </c>
      <c r="D32" s="5">
        <v>107.4</v>
      </c>
      <c r="E32" s="5">
        <v>107.4</v>
      </c>
      <c r="F32" s="5">
        <v>107.4</v>
      </c>
      <c r="H32" s="22">
        <v>2.8E-3</v>
      </c>
      <c r="I32" s="34">
        <f t="shared" si="1"/>
        <v>2.8011204481794838E-3</v>
      </c>
      <c r="L32" s="5">
        <f t="shared" si="2"/>
        <v>1999</v>
      </c>
      <c r="M32" s="23">
        <f t="shared" si="0"/>
        <v>1330.5666666666668</v>
      </c>
      <c r="N32" s="34">
        <f t="shared" si="3"/>
        <v>0.22310656258857242</v>
      </c>
    </row>
    <row r="33" spans="2:14" x14ac:dyDescent="0.35">
      <c r="B33" s="42">
        <v>26512</v>
      </c>
      <c r="C33" s="5">
        <v>111.1</v>
      </c>
      <c r="D33" s="5">
        <v>111.1</v>
      </c>
      <c r="E33" s="5">
        <v>111.1</v>
      </c>
      <c r="F33" s="5">
        <v>111.1</v>
      </c>
      <c r="H33" s="22">
        <v>3.4500000000000003E-2</v>
      </c>
      <c r="I33" s="34">
        <f t="shared" si="1"/>
        <v>3.4450651769087459E-2</v>
      </c>
      <c r="L33" s="5">
        <f t="shared" si="2"/>
        <v>2000</v>
      </c>
      <c r="M33" s="23">
        <f t="shared" si="0"/>
        <v>1419.7333333333333</v>
      </c>
      <c r="N33" s="34">
        <f t="shared" si="3"/>
        <v>6.7014054162386927E-2</v>
      </c>
    </row>
    <row r="34" spans="2:14" x14ac:dyDescent="0.35">
      <c r="B34" s="42">
        <v>26543</v>
      </c>
      <c r="C34" s="5">
        <v>110.5</v>
      </c>
      <c r="D34" s="5">
        <v>110.5</v>
      </c>
      <c r="E34" s="5">
        <v>110.5</v>
      </c>
      <c r="F34" s="5">
        <v>110.5</v>
      </c>
      <c r="H34" s="22">
        <v>-5.4000000000000003E-3</v>
      </c>
      <c r="I34" s="34">
        <f t="shared" si="1"/>
        <v>-5.400540054005365E-3</v>
      </c>
      <c r="L34" s="5">
        <f t="shared" si="2"/>
        <v>2001</v>
      </c>
      <c r="M34" s="23">
        <f t="shared" si="0"/>
        <v>1185.75</v>
      </c>
      <c r="N34" s="34">
        <f t="shared" si="3"/>
        <v>-0.16480794515401953</v>
      </c>
    </row>
    <row r="35" spans="2:14" x14ac:dyDescent="0.35">
      <c r="B35" s="42">
        <v>26573</v>
      </c>
      <c r="C35" s="5">
        <v>111.6</v>
      </c>
      <c r="D35" s="5">
        <v>111.6</v>
      </c>
      <c r="E35" s="5">
        <v>111.6</v>
      </c>
      <c r="F35" s="5">
        <v>111.6</v>
      </c>
      <c r="H35" s="22">
        <v>0.01</v>
      </c>
      <c r="I35" s="34">
        <f t="shared" si="1"/>
        <v>9.9547511312216841E-3</v>
      </c>
      <c r="L35" s="5">
        <f t="shared" si="2"/>
        <v>2002</v>
      </c>
      <c r="M35" s="23">
        <f t="shared" si="0"/>
        <v>988.58333333333314</v>
      </c>
      <c r="N35" s="34">
        <f t="shared" si="3"/>
        <v>-0.16628013212453452</v>
      </c>
    </row>
    <row r="36" spans="2:14" x14ac:dyDescent="0.35">
      <c r="B36" s="42">
        <v>26604</v>
      </c>
      <c r="C36" s="5">
        <v>116.7</v>
      </c>
      <c r="D36" s="5">
        <v>116.7</v>
      </c>
      <c r="E36" s="5">
        <v>116.7</v>
      </c>
      <c r="F36" s="5">
        <v>116.7</v>
      </c>
      <c r="H36" s="22">
        <v>4.5699999999999998E-2</v>
      </c>
      <c r="I36" s="34">
        <f t="shared" si="1"/>
        <v>4.5698924731182977E-2</v>
      </c>
      <c r="L36" s="5">
        <f t="shared" si="2"/>
        <v>2003</v>
      </c>
      <c r="M36" s="23">
        <f t="shared" si="0"/>
        <v>967.92500000000007</v>
      </c>
      <c r="N36" s="34">
        <f t="shared" si="3"/>
        <v>-2.0896906347466659E-2</v>
      </c>
    </row>
    <row r="37" spans="2:14" x14ac:dyDescent="0.35">
      <c r="B37" s="42">
        <v>26634</v>
      </c>
      <c r="C37" s="5">
        <v>118</v>
      </c>
      <c r="D37" s="5">
        <v>118</v>
      </c>
      <c r="E37" s="5">
        <v>118</v>
      </c>
      <c r="F37" s="5">
        <v>118</v>
      </c>
      <c r="H37" s="22">
        <v>1.11E-2</v>
      </c>
      <c r="I37" s="34">
        <f t="shared" si="1"/>
        <v>1.1139674378748854E-2</v>
      </c>
      <c r="L37" s="5">
        <f t="shared" si="2"/>
        <v>2004</v>
      </c>
      <c r="M37" s="23">
        <f t="shared" si="0"/>
        <v>1133.95</v>
      </c>
      <c r="N37" s="34">
        <f t="shared" si="3"/>
        <v>0.17152671952888898</v>
      </c>
    </row>
    <row r="38" spans="2:14" x14ac:dyDescent="0.35">
      <c r="B38" s="42">
        <v>26665</v>
      </c>
      <c r="C38" s="5">
        <v>116</v>
      </c>
      <c r="D38" s="5">
        <v>116</v>
      </c>
      <c r="E38" s="5">
        <v>116</v>
      </c>
      <c r="F38" s="5">
        <v>116</v>
      </c>
      <c r="H38" s="22">
        <v>-1.6899999999999998E-2</v>
      </c>
      <c r="I38" s="34">
        <f t="shared" si="1"/>
        <v>-1.6949152542372836E-2</v>
      </c>
      <c r="L38" s="5">
        <f t="shared" si="2"/>
        <v>2005</v>
      </c>
      <c r="M38" s="23">
        <f t="shared" si="0"/>
        <v>1207.7666666666664</v>
      </c>
      <c r="N38" s="34">
        <f t="shared" si="3"/>
        <v>6.5096932551405695E-2</v>
      </c>
    </row>
    <row r="39" spans="2:14" x14ac:dyDescent="0.35">
      <c r="B39" s="42">
        <v>26696</v>
      </c>
      <c r="C39" s="5">
        <v>111.7</v>
      </c>
      <c r="D39" s="5">
        <v>111.7</v>
      </c>
      <c r="E39" s="5">
        <v>111.7</v>
      </c>
      <c r="F39" s="5">
        <v>111.7</v>
      </c>
      <c r="H39" s="22">
        <v>-3.7100000000000001E-2</v>
      </c>
      <c r="I39" s="34">
        <f t="shared" si="1"/>
        <v>-3.706896551724137E-2</v>
      </c>
      <c r="L39" s="5">
        <f t="shared" si="2"/>
        <v>2006</v>
      </c>
      <c r="M39" s="23">
        <f t="shared" si="0"/>
        <v>1318.3</v>
      </c>
      <c r="N39" s="34">
        <f t="shared" si="3"/>
        <v>9.1518781221538559E-2</v>
      </c>
    </row>
    <row r="40" spans="2:14" x14ac:dyDescent="0.35">
      <c r="B40" s="42">
        <v>26724</v>
      </c>
      <c r="C40" s="5">
        <v>111.5</v>
      </c>
      <c r="D40" s="5">
        <v>111.5</v>
      </c>
      <c r="E40" s="5">
        <v>111.5</v>
      </c>
      <c r="F40" s="5">
        <v>111.5</v>
      </c>
      <c r="H40" s="22">
        <v>-1.8E-3</v>
      </c>
      <c r="I40" s="34">
        <f t="shared" si="1"/>
        <v>-1.7905102954342E-3</v>
      </c>
      <c r="L40" s="5">
        <f t="shared" si="2"/>
        <v>2007</v>
      </c>
      <c r="M40" s="23">
        <f t="shared" si="0"/>
        <v>1478.0999999999997</v>
      </c>
      <c r="N40" s="34">
        <f t="shared" si="3"/>
        <v>0.12121671850109972</v>
      </c>
    </row>
    <row r="41" spans="2:14" x14ac:dyDescent="0.35">
      <c r="B41" s="42">
        <v>26755</v>
      </c>
      <c r="C41" s="5">
        <v>107</v>
      </c>
      <c r="D41" s="5">
        <v>107</v>
      </c>
      <c r="E41" s="5">
        <v>107</v>
      </c>
      <c r="F41" s="5">
        <v>107</v>
      </c>
      <c r="H41" s="22">
        <v>-4.0399999999999998E-2</v>
      </c>
      <c r="I41" s="34">
        <f t="shared" si="1"/>
        <v>-4.035874439461884E-2</v>
      </c>
      <c r="L41" s="5">
        <f t="shared" si="2"/>
        <v>2008</v>
      </c>
      <c r="M41" s="23">
        <f t="shared" si="0"/>
        <v>1215.2166666666665</v>
      </c>
      <c r="N41" s="34">
        <f t="shared" si="3"/>
        <v>-0.17785219764111582</v>
      </c>
    </row>
    <row r="42" spans="2:14" x14ac:dyDescent="0.35">
      <c r="B42" s="42">
        <v>26785</v>
      </c>
      <c r="C42" s="5">
        <v>105</v>
      </c>
      <c r="D42" s="5">
        <v>105</v>
      </c>
      <c r="E42" s="5">
        <v>105</v>
      </c>
      <c r="F42" s="5">
        <v>105</v>
      </c>
      <c r="H42" s="22">
        <v>-1.8700000000000001E-2</v>
      </c>
      <c r="I42" s="34">
        <f t="shared" si="1"/>
        <v>-1.8691588785046731E-2</v>
      </c>
      <c r="L42" s="5">
        <f t="shared" si="2"/>
        <v>2009</v>
      </c>
      <c r="M42" s="23">
        <f t="shared" si="0"/>
        <v>948.51666666666688</v>
      </c>
      <c r="N42" s="34">
        <f t="shared" si="3"/>
        <v>-0.21946703605666995</v>
      </c>
    </row>
    <row r="43" spans="2:14" x14ac:dyDescent="0.35">
      <c r="B43" s="42">
        <v>26816</v>
      </c>
      <c r="C43" s="5">
        <v>104.3</v>
      </c>
      <c r="D43" s="5">
        <v>104.3</v>
      </c>
      <c r="E43" s="5">
        <v>104.3</v>
      </c>
      <c r="F43" s="5">
        <v>104.3</v>
      </c>
      <c r="H43" s="22">
        <v>-6.7000000000000002E-3</v>
      </c>
      <c r="I43" s="34">
        <f t="shared" si="1"/>
        <v>-6.6666666666667096E-3</v>
      </c>
      <c r="L43" s="5">
        <f t="shared" si="2"/>
        <v>2010</v>
      </c>
      <c r="M43" s="23">
        <f t="shared" si="0"/>
        <v>1130.675</v>
      </c>
      <c r="N43" s="34">
        <f t="shared" si="3"/>
        <v>0.19204547451283549</v>
      </c>
    </row>
    <row r="44" spans="2:14" x14ac:dyDescent="0.35">
      <c r="B44" s="42">
        <v>26846</v>
      </c>
      <c r="C44" s="5">
        <v>108.2</v>
      </c>
      <c r="D44" s="5">
        <v>108.2</v>
      </c>
      <c r="E44" s="5">
        <v>108.2</v>
      </c>
      <c r="F44" s="5">
        <v>108.2</v>
      </c>
      <c r="H44" s="22">
        <v>3.7400000000000003E-2</v>
      </c>
      <c r="I44" s="34">
        <f t="shared" si="1"/>
        <v>3.7392138063279123E-2</v>
      </c>
      <c r="L44" s="5">
        <f t="shared" si="2"/>
        <v>2011</v>
      </c>
      <c r="M44" s="23">
        <f t="shared" si="0"/>
        <v>1280.7499999999998</v>
      </c>
      <c r="N44" s="34">
        <f t="shared" si="3"/>
        <v>0.13273044862582073</v>
      </c>
    </row>
    <row r="45" spans="2:14" x14ac:dyDescent="0.35">
      <c r="B45" s="42">
        <v>26877</v>
      </c>
      <c r="C45" s="5">
        <v>104.2</v>
      </c>
      <c r="D45" s="5">
        <v>104.2</v>
      </c>
      <c r="E45" s="5">
        <v>104.2</v>
      </c>
      <c r="F45" s="5">
        <v>104.2</v>
      </c>
      <c r="H45" s="22">
        <v>-3.6999999999999998E-2</v>
      </c>
      <c r="I45" s="34">
        <f t="shared" si="1"/>
        <v>-3.6968576709796697E-2</v>
      </c>
      <c r="L45" s="5">
        <f t="shared" si="2"/>
        <v>2012</v>
      </c>
      <c r="M45" s="23">
        <f t="shared" si="0"/>
        <v>1386.5166666666667</v>
      </c>
      <c r="N45" s="34">
        <f t="shared" si="3"/>
        <v>8.2581820547856344E-2</v>
      </c>
    </row>
    <row r="46" spans="2:14" x14ac:dyDescent="0.35">
      <c r="B46" s="42">
        <v>26908</v>
      </c>
      <c r="C46" s="5">
        <v>108.4</v>
      </c>
      <c r="D46" s="5">
        <v>108.4</v>
      </c>
      <c r="E46" s="5">
        <v>108.4</v>
      </c>
      <c r="F46" s="5">
        <v>108.4</v>
      </c>
      <c r="H46" s="22">
        <v>4.0300000000000002E-2</v>
      </c>
      <c r="I46" s="34">
        <f t="shared" si="1"/>
        <v>4.0307101727447225E-2</v>
      </c>
      <c r="L46" s="5">
        <f t="shared" si="2"/>
        <v>2013</v>
      </c>
      <c r="M46" s="23">
        <f t="shared" si="0"/>
        <v>1652.291666666667</v>
      </c>
      <c r="N46" s="34">
        <f t="shared" si="3"/>
        <v>0.19168539866091305</v>
      </c>
    </row>
    <row r="47" spans="2:14" x14ac:dyDescent="0.35">
      <c r="B47" s="42">
        <v>26938</v>
      </c>
      <c r="C47" s="5">
        <v>108.3</v>
      </c>
      <c r="D47" s="5">
        <v>108.3</v>
      </c>
      <c r="E47" s="5">
        <v>108.3</v>
      </c>
      <c r="F47" s="5">
        <v>108.3</v>
      </c>
      <c r="H47" s="22">
        <v>-8.9999999999999998E-4</v>
      </c>
      <c r="I47" s="34">
        <f t="shared" si="1"/>
        <v>-9.2250922509229394E-4</v>
      </c>
      <c r="L47" s="5">
        <f t="shared" si="2"/>
        <v>2014</v>
      </c>
      <c r="M47" s="23">
        <f t="shared" si="0"/>
        <v>1944.4150000000002</v>
      </c>
      <c r="N47" s="34">
        <f t="shared" si="3"/>
        <v>0.17679889042995822</v>
      </c>
    </row>
    <row r="48" spans="2:14" x14ac:dyDescent="0.35">
      <c r="B48" s="42">
        <v>26969</v>
      </c>
      <c r="C48" s="5">
        <v>96</v>
      </c>
      <c r="D48" s="5">
        <v>96</v>
      </c>
      <c r="E48" s="5">
        <v>96</v>
      </c>
      <c r="F48" s="5">
        <v>96</v>
      </c>
      <c r="H48" s="22">
        <v>-0.11360000000000001</v>
      </c>
      <c r="I48" s="34">
        <f t="shared" si="1"/>
        <v>-0.11357340720221609</v>
      </c>
      <c r="L48" s="5">
        <f t="shared" si="2"/>
        <v>2015</v>
      </c>
      <c r="M48" s="23">
        <f t="shared" si="0"/>
        <v>2051.9291666666663</v>
      </c>
      <c r="N48" s="34">
        <f t="shared" si="3"/>
        <v>5.5293837306678917E-2</v>
      </c>
    </row>
    <row r="49" spans="2:14" x14ac:dyDescent="0.35">
      <c r="B49" s="42">
        <v>26999</v>
      </c>
      <c r="C49" s="5">
        <v>97.5</v>
      </c>
      <c r="D49" s="5">
        <v>97.5</v>
      </c>
      <c r="E49" s="5">
        <v>97.5</v>
      </c>
      <c r="F49" s="5">
        <v>97.5</v>
      </c>
      <c r="H49" s="22">
        <v>1.5599999999999999E-2</v>
      </c>
      <c r="I49" s="34">
        <f t="shared" si="1"/>
        <v>1.5625E-2</v>
      </c>
      <c r="L49" s="5">
        <f t="shared" si="2"/>
        <v>2016</v>
      </c>
      <c r="M49" s="23">
        <f t="shared" si="0"/>
        <v>2105.8283333333334</v>
      </c>
      <c r="N49" s="34">
        <f t="shared" si="3"/>
        <v>2.6267557156578469E-2</v>
      </c>
    </row>
    <row r="50" spans="2:14" x14ac:dyDescent="0.35">
      <c r="B50" s="42">
        <v>27030</v>
      </c>
      <c r="C50" s="5">
        <v>96.6</v>
      </c>
      <c r="D50" s="5">
        <v>96.6</v>
      </c>
      <c r="E50" s="5">
        <v>96.6</v>
      </c>
      <c r="F50" s="5">
        <v>96.6</v>
      </c>
      <c r="H50" s="22">
        <v>-9.1999999999999998E-3</v>
      </c>
      <c r="I50" s="34">
        <f t="shared" si="1"/>
        <v>-9.2307692307692646E-3</v>
      </c>
      <c r="L50" s="5">
        <f t="shared" si="2"/>
        <v>2017</v>
      </c>
      <c r="M50" s="23">
        <f t="shared" si="0"/>
        <v>2465.2000000000003</v>
      </c>
      <c r="N50" s="34">
        <f t="shared" si="3"/>
        <v>0.17065572771443072</v>
      </c>
    </row>
    <row r="51" spans="2:14" x14ac:dyDescent="0.35">
      <c r="B51" s="42">
        <v>27061</v>
      </c>
      <c r="C51" s="5">
        <v>96.2</v>
      </c>
      <c r="D51" s="5">
        <v>96.2</v>
      </c>
      <c r="E51" s="5">
        <v>96.2</v>
      </c>
      <c r="F51" s="5">
        <v>96.2</v>
      </c>
      <c r="H51" s="22">
        <v>-4.1000000000000003E-3</v>
      </c>
      <c r="I51" s="34">
        <f t="shared" si="1"/>
        <v>-4.1407867494822614E-3</v>
      </c>
      <c r="L51" s="5">
        <f t="shared" si="2"/>
        <v>2018</v>
      </c>
      <c r="M51" s="23">
        <f t="shared" si="0"/>
        <v>2738.3958333333335</v>
      </c>
      <c r="N51" s="34">
        <f t="shared" si="3"/>
        <v>0.11082096111201256</v>
      </c>
    </row>
    <row r="52" spans="2:14" x14ac:dyDescent="0.35">
      <c r="B52" s="42">
        <v>27089</v>
      </c>
      <c r="C52" s="5">
        <v>94</v>
      </c>
      <c r="D52" s="5">
        <v>94</v>
      </c>
      <c r="E52" s="5">
        <v>94</v>
      </c>
      <c r="F52" s="5">
        <v>94</v>
      </c>
      <c r="H52" s="22">
        <v>-2.29E-2</v>
      </c>
      <c r="I52" s="34">
        <f t="shared" si="1"/>
        <v>-2.2869022869022926E-2</v>
      </c>
      <c r="L52" s="5">
        <f t="shared" si="2"/>
        <v>2019</v>
      </c>
      <c r="M52" s="23">
        <f t="shared" si="0"/>
        <v>2937.9616666666666</v>
      </c>
      <c r="N52" s="34">
        <f t="shared" si="3"/>
        <v>7.2876912425918317E-2</v>
      </c>
    </row>
    <row r="53" spans="2:14" x14ac:dyDescent="0.35">
      <c r="B53" s="42">
        <v>27120</v>
      </c>
      <c r="C53" s="5">
        <v>90.3</v>
      </c>
      <c r="D53" s="5">
        <v>90.3</v>
      </c>
      <c r="E53" s="5">
        <v>90.3</v>
      </c>
      <c r="F53" s="5">
        <v>90.3</v>
      </c>
      <c r="H53" s="22">
        <v>-3.9399999999999998E-2</v>
      </c>
      <c r="I53" s="34">
        <f t="shared" si="1"/>
        <v>-3.9361702127659659E-2</v>
      </c>
      <c r="L53" s="5">
        <f t="shared" si="2"/>
        <v>2020</v>
      </c>
      <c r="M53" s="23">
        <f t="shared" si="0"/>
        <v>3216.9541666666664</v>
      </c>
      <c r="N53" s="34">
        <f t="shared" si="3"/>
        <v>9.4961245807041905E-2</v>
      </c>
    </row>
    <row r="54" spans="2:14" x14ac:dyDescent="0.35">
      <c r="B54" s="42">
        <v>27150</v>
      </c>
      <c r="C54" s="5">
        <v>87.3</v>
      </c>
      <c r="D54" s="5">
        <v>87.3</v>
      </c>
      <c r="E54" s="5">
        <v>87.3</v>
      </c>
      <c r="F54" s="5">
        <v>87.3</v>
      </c>
      <c r="H54" s="22">
        <v>-3.32E-2</v>
      </c>
      <c r="I54" s="34">
        <f t="shared" si="1"/>
        <v>-3.3222591362126241E-2</v>
      </c>
      <c r="L54" s="5">
        <f t="shared" si="2"/>
        <v>2021</v>
      </c>
      <c r="M54" s="23">
        <f t="shared" si="0"/>
        <v>4278.7583333333332</v>
      </c>
      <c r="N54" s="34">
        <f t="shared" si="3"/>
        <v>0.3300650589519849</v>
      </c>
    </row>
    <row r="55" spans="2:14" x14ac:dyDescent="0.35">
      <c r="B55" s="42">
        <v>27181</v>
      </c>
      <c r="C55" s="5">
        <v>86</v>
      </c>
      <c r="D55" s="5">
        <v>86</v>
      </c>
      <c r="E55" s="5">
        <v>86</v>
      </c>
      <c r="F55" s="5">
        <v>86</v>
      </c>
      <c r="H55" s="22">
        <v>-1.49E-2</v>
      </c>
      <c r="I55" s="34">
        <f t="shared" si="1"/>
        <v>-1.4891179839633395E-2</v>
      </c>
      <c r="L55" s="5">
        <f t="shared" si="2"/>
        <v>2022</v>
      </c>
      <c r="M55" s="23">
        <f t="shared" si="0"/>
        <v>4077.6550000000011</v>
      </c>
      <c r="N55" s="34">
        <f t="shared" si="3"/>
        <v>-4.7000395363919534E-2</v>
      </c>
    </row>
    <row r="56" spans="2:14" x14ac:dyDescent="0.35">
      <c r="B56" s="42">
        <v>27211</v>
      </c>
      <c r="C56" s="5">
        <v>79.3</v>
      </c>
      <c r="D56" s="5">
        <v>79.3</v>
      </c>
      <c r="E56" s="5">
        <v>79.3</v>
      </c>
      <c r="F56" s="5">
        <v>79.3</v>
      </c>
      <c r="H56" s="22">
        <v>-7.7899999999999997E-2</v>
      </c>
      <c r="I56" s="34">
        <f t="shared" si="1"/>
        <v>-7.7906976744186118E-2</v>
      </c>
      <c r="L56" s="5">
        <f t="shared" si="2"/>
        <v>2023</v>
      </c>
      <c r="M56" s="23">
        <f t="shared" si="0"/>
        <v>4322.6541666666681</v>
      </c>
      <c r="N56" s="34">
        <f t="shared" si="3"/>
        <v>6.0083348558587435E-2</v>
      </c>
    </row>
    <row r="57" spans="2:14" x14ac:dyDescent="0.35">
      <c r="B57" s="42">
        <v>27242</v>
      </c>
      <c r="C57" s="5">
        <v>72.2</v>
      </c>
      <c r="D57" s="5">
        <v>72.2</v>
      </c>
      <c r="E57" s="5">
        <v>72.2</v>
      </c>
      <c r="F57" s="5">
        <v>72.2</v>
      </c>
      <c r="H57" s="22">
        <v>-8.9499999999999996E-2</v>
      </c>
      <c r="I57" s="34">
        <f t="shared" si="1"/>
        <v>-8.9533417402269833E-2</v>
      </c>
    </row>
    <row r="58" spans="2:14" x14ac:dyDescent="0.35">
      <c r="B58" s="42">
        <v>27273</v>
      </c>
      <c r="C58" s="5">
        <v>63.5</v>
      </c>
      <c r="D58" s="5">
        <v>63.5</v>
      </c>
      <c r="E58" s="5">
        <v>63.5</v>
      </c>
      <c r="F58" s="5">
        <v>63.5</v>
      </c>
      <c r="H58" s="22">
        <v>-0.1205</v>
      </c>
      <c r="I58" s="34">
        <f t="shared" si="1"/>
        <v>-0.12049861495844882</v>
      </c>
    </row>
    <row r="59" spans="2:14" x14ac:dyDescent="0.35">
      <c r="B59" s="42">
        <v>27303</v>
      </c>
      <c r="C59" s="5">
        <v>73.900000000000006</v>
      </c>
      <c r="D59" s="5">
        <v>73.900000000000006</v>
      </c>
      <c r="E59" s="5">
        <v>73.900000000000006</v>
      </c>
      <c r="F59" s="5">
        <v>73.900000000000006</v>
      </c>
      <c r="H59" s="22">
        <v>0.1638</v>
      </c>
      <c r="I59" s="34">
        <f t="shared" si="1"/>
        <v>0.16377952755905523</v>
      </c>
    </row>
    <row r="60" spans="2:14" x14ac:dyDescent="0.35">
      <c r="B60" s="42">
        <v>27334</v>
      </c>
      <c r="C60" s="5">
        <v>70</v>
      </c>
      <c r="D60" s="5">
        <v>70</v>
      </c>
      <c r="E60" s="5">
        <v>70</v>
      </c>
      <c r="F60" s="5">
        <v>70</v>
      </c>
      <c r="H60" s="22">
        <v>-5.28E-2</v>
      </c>
      <c r="I60" s="34">
        <f t="shared" si="1"/>
        <v>-5.2774018944519718E-2</v>
      </c>
    </row>
    <row r="61" spans="2:14" x14ac:dyDescent="0.35">
      <c r="B61" s="42">
        <v>27364</v>
      </c>
      <c r="C61" s="5">
        <v>68.599999999999994</v>
      </c>
      <c r="D61" s="5">
        <v>68.599999999999994</v>
      </c>
      <c r="E61" s="5">
        <v>68.599999999999994</v>
      </c>
      <c r="F61" s="5">
        <v>68.599999999999994</v>
      </c>
      <c r="H61" s="22">
        <v>-0.02</v>
      </c>
      <c r="I61" s="34">
        <f t="shared" si="1"/>
        <v>-2.0000000000000129E-2</v>
      </c>
    </row>
    <row r="62" spans="2:14" x14ac:dyDescent="0.35">
      <c r="B62" s="42">
        <v>27395</v>
      </c>
      <c r="C62" s="5">
        <v>77</v>
      </c>
      <c r="D62" s="5">
        <v>77</v>
      </c>
      <c r="E62" s="5">
        <v>78.7</v>
      </c>
      <c r="F62" s="5">
        <v>68.7</v>
      </c>
      <c r="H62" s="22">
        <v>0.12239999999999999</v>
      </c>
      <c r="I62" s="34">
        <f t="shared" si="1"/>
        <v>1.4577259475219151E-3</v>
      </c>
    </row>
    <row r="63" spans="2:14" x14ac:dyDescent="0.35">
      <c r="B63" s="42">
        <v>27426</v>
      </c>
      <c r="C63" s="5">
        <v>81.599999999999994</v>
      </c>
      <c r="D63" s="5">
        <v>81.599999999999994</v>
      </c>
      <c r="E63" s="5">
        <v>83.6</v>
      </c>
      <c r="F63" s="5">
        <v>76</v>
      </c>
      <c r="H63" s="22">
        <v>5.9700000000000003E-2</v>
      </c>
      <c r="I63" s="34">
        <f t="shared" si="1"/>
        <v>0.10625909752547313</v>
      </c>
    </row>
    <row r="64" spans="2:14" x14ac:dyDescent="0.35">
      <c r="B64" s="42">
        <v>27454</v>
      </c>
      <c r="C64" s="5">
        <v>83.4</v>
      </c>
      <c r="D64" s="5">
        <v>83.4</v>
      </c>
      <c r="E64" s="5">
        <v>87.1</v>
      </c>
      <c r="F64" s="5">
        <v>80.099999999999994</v>
      </c>
      <c r="H64" s="22">
        <v>2.2100000000000002E-2</v>
      </c>
      <c r="I64" s="34">
        <f t="shared" si="1"/>
        <v>5.3947368421052522E-2</v>
      </c>
    </row>
    <row r="65" spans="2:9" x14ac:dyDescent="0.35">
      <c r="B65" s="42">
        <v>27485</v>
      </c>
      <c r="C65" s="5">
        <v>87.3</v>
      </c>
      <c r="D65" s="5">
        <v>87.3</v>
      </c>
      <c r="E65" s="5">
        <v>88.8</v>
      </c>
      <c r="F65" s="5">
        <v>79.7</v>
      </c>
      <c r="H65" s="22">
        <v>4.6800000000000001E-2</v>
      </c>
      <c r="I65" s="34">
        <f t="shared" si="1"/>
        <v>-4.993757802746468E-3</v>
      </c>
    </row>
    <row r="66" spans="2:9" x14ac:dyDescent="0.35">
      <c r="B66" s="42">
        <v>27515</v>
      </c>
      <c r="C66" s="5">
        <v>91.2</v>
      </c>
      <c r="D66" s="5">
        <v>91.2</v>
      </c>
      <c r="E66" s="5">
        <v>93.5</v>
      </c>
      <c r="F66" s="5">
        <v>86.9</v>
      </c>
      <c r="H66" s="22">
        <v>4.4699999999999997E-2</v>
      </c>
      <c r="I66" s="34">
        <f t="shared" si="1"/>
        <v>9.0338770388958656E-2</v>
      </c>
    </row>
    <row r="67" spans="2:9" x14ac:dyDescent="0.35">
      <c r="B67" s="42">
        <v>27546</v>
      </c>
      <c r="C67" s="5">
        <v>95.2</v>
      </c>
      <c r="D67" s="5">
        <v>95.2</v>
      </c>
      <c r="E67" s="5">
        <v>95.8</v>
      </c>
      <c r="F67" s="5">
        <v>89.3</v>
      </c>
      <c r="H67" s="22">
        <v>4.3900000000000002E-2</v>
      </c>
      <c r="I67" s="34">
        <f t="shared" si="1"/>
        <v>2.7617951668584384E-2</v>
      </c>
    </row>
    <row r="68" spans="2:9" x14ac:dyDescent="0.35">
      <c r="B68" s="42">
        <v>27576</v>
      </c>
      <c r="C68" s="5">
        <v>88.8</v>
      </c>
      <c r="D68" s="5">
        <v>88.8</v>
      </c>
      <c r="E68" s="5">
        <v>96.6</v>
      </c>
      <c r="F68" s="5">
        <v>87.7</v>
      </c>
      <c r="H68" s="22">
        <v>-6.7199999999999996E-2</v>
      </c>
      <c r="I68" s="34">
        <f t="shared" si="1"/>
        <v>-1.7917133258678497E-2</v>
      </c>
    </row>
    <row r="69" spans="2:9" x14ac:dyDescent="0.35">
      <c r="B69" s="42">
        <v>27607</v>
      </c>
      <c r="C69" s="5">
        <v>86.9</v>
      </c>
      <c r="D69" s="5">
        <v>86.9</v>
      </c>
      <c r="E69" s="5">
        <v>89</v>
      </c>
      <c r="F69" s="5">
        <v>82.2</v>
      </c>
      <c r="H69" s="22">
        <v>-2.1399999999999999E-2</v>
      </c>
      <c r="I69" s="34">
        <f t="shared" ref="I69:I132" si="4">F69/F68-1</f>
        <v>-6.271379703534774E-2</v>
      </c>
    </row>
    <row r="70" spans="2:9" x14ac:dyDescent="0.35">
      <c r="B70" s="42">
        <v>27638</v>
      </c>
      <c r="C70" s="5">
        <v>83.9</v>
      </c>
      <c r="D70" s="5">
        <v>83.9</v>
      </c>
      <c r="E70" s="5">
        <v>87.4</v>
      </c>
      <c r="F70" s="5">
        <v>81.599999999999994</v>
      </c>
      <c r="H70" s="22">
        <v>-3.4500000000000003E-2</v>
      </c>
      <c r="I70" s="34">
        <f t="shared" si="4"/>
        <v>-7.2992700729928028E-3</v>
      </c>
    </row>
    <row r="71" spans="2:9" x14ac:dyDescent="0.35">
      <c r="B71" s="42">
        <v>27668</v>
      </c>
      <c r="C71" s="5">
        <v>89</v>
      </c>
      <c r="D71" s="5">
        <v>89</v>
      </c>
      <c r="E71" s="5">
        <v>91.8</v>
      </c>
      <c r="F71" s="5">
        <v>82.6</v>
      </c>
      <c r="H71" s="22">
        <v>6.08E-2</v>
      </c>
      <c r="I71" s="34">
        <f t="shared" si="4"/>
        <v>1.225490196078427E-2</v>
      </c>
    </row>
    <row r="72" spans="2:9" x14ac:dyDescent="0.35">
      <c r="B72" s="42">
        <v>27699</v>
      </c>
      <c r="C72" s="5">
        <v>91.2</v>
      </c>
      <c r="D72" s="5">
        <v>91.2</v>
      </c>
      <c r="E72" s="5">
        <v>92.3</v>
      </c>
      <c r="F72" s="5">
        <v>87.6</v>
      </c>
      <c r="H72" s="22">
        <v>2.47E-2</v>
      </c>
      <c r="I72" s="34">
        <f t="shared" si="4"/>
        <v>6.0532687651331685E-2</v>
      </c>
    </row>
    <row r="73" spans="2:9" x14ac:dyDescent="0.35">
      <c r="B73" s="42">
        <v>27729</v>
      </c>
      <c r="C73" s="5">
        <v>90.2</v>
      </c>
      <c r="D73" s="5">
        <v>90.2</v>
      </c>
      <c r="E73" s="5">
        <v>91.9</v>
      </c>
      <c r="F73" s="5">
        <v>86.2</v>
      </c>
      <c r="H73" s="22">
        <v>-1.0999999999999999E-2</v>
      </c>
      <c r="I73" s="34">
        <f t="shared" si="4"/>
        <v>-1.5981735159817267E-2</v>
      </c>
    </row>
    <row r="74" spans="2:9" x14ac:dyDescent="0.35">
      <c r="B74" s="42">
        <v>27760</v>
      </c>
      <c r="C74" s="5">
        <v>100.9</v>
      </c>
      <c r="D74" s="5">
        <v>100.9</v>
      </c>
      <c r="E74" s="5">
        <v>102</v>
      </c>
      <c r="F74" s="5">
        <v>89.8</v>
      </c>
      <c r="H74" s="22">
        <v>0.1186</v>
      </c>
      <c r="I74" s="34">
        <f t="shared" si="4"/>
        <v>4.1763341067285298E-2</v>
      </c>
    </row>
    <row r="75" spans="2:9" x14ac:dyDescent="0.35">
      <c r="B75" s="42">
        <v>27791</v>
      </c>
      <c r="C75" s="5">
        <v>99.7</v>
      </c>
      <c r="D75" s="5">
        <v>99.7</v>
      </c>
      <c r="E75" s="5">
        <v>103.1</v>
      </c>
      <c r="F75" s="5">
        <v>98.5</v>
      </c>
      <c r="H75" s="22">
        <v>-1.1900000000000001E-2</v>
      </c>
      <c r="I75" s="34">
        <f t="shared" si="4"/>
        <v>9.6881959910913196E-2</v>
      </c>
    </row>
    <row r="76" spans="2:9" x14ac:dyDescent="0.35">
      <c r="B76" s="42">
        <v>27820</v>
      </c>
      <c r="C76" s="5">
        <v>102.8</v>
      </c>
      <c r="D76" s="5">
        <v>102.8</v>
      </c>
      <c r="E76" s="5">
        <v>104.4</v>
      </c>
      <c r="F76" s="5">
        <v>98.2</v>
      </c>
      <c r="H76" s="22">
        <v>3.1099999999999999E-2</v>
      </c>
      <c r="I76" s="34">
        <f t="shared" si="4"/>
        <v>-3.0456852791878042E-3</v>
      </c>
    </row>
    <row r="77" spans="2:9" x14ac:dyDescent="0.35">
      <c r="B77" s="42">
        <v>27851</v>
      </c>
      <c r="C77" s="5">
        <v>101.6</v>
      </c>
      <c r="D77" s="5">
        <v>101.6</v>
      </c>
      <c r="E77" s="5">
        <v>104.6</v>
      </c>
      <c r="F77" s="5">
        <v>99.6</v>
      </c>
      <c r="H77" s="22">
        <v>-1.17E-2</v>
      </c>
      <c r="I77" s="34">
        <f t="shared" si="4"/>
        <v>1.4256619144602745E-2</v>
      </c>
    </row>
    <row r="78" spans="2:9" x14ac:dyDescent="0.35">
      <c r="B78" s="42">
        <v>27881</v>
      </c>
      <c r="C78" s="5">
        <v>100.2</v>
      </c>
      <c r="D78" s="5">
        <v>100.2</v>
      </c>
      <c r="E78" s="5">
        <v>104</v>
      </c>
      <c r="F78" s="5">
        <v>98.3</v>
      </c>
      <c r="H78" s="22">
        <v>-1.38E-2</v>
      </c>
      <c r="I78" s="34">
        <f t="shared" si="4"/>
        <v>-1.3052208835341306E-2</v>
      </c>
    </row>
    <row r="79" spans="2:9" x14ac:dyDescent="0.35">
      <c r="B79" s="42">
        <v>27912</v>
      </c>
      <c r="C79" s="5">
        <v>104.3</v>
      </c>
      <c r="D79" s="5">
        <v>104.3</v>
      </c>
      <c r="E79" s="5">
        <v>105.1</v>
      </c>
      <c r="F79" s="5">
        <v>98</v>
      </c>
      <c r="H79" s="22">
        <v>4.0899999999999999E-2</v>
      </c>
      <c r="I79" s="34">
        <f t="shared" si="4"/>
        <v>-3.0518819938961661E-3</v>
      </c>
    </row>
    <row r="80" spans="2:9" x14ac:dyDescent="0.35">
      <c r="B80" s="42">
        <v>27942</v>
      </c>
      <c r="C80" s="5">
        <v>103.4</v>
      </c>
      <c r="D80" s="5">
        <v>103.4</v>
      </c>
      <c r="E80" s="5">
        <v>106.8</v>
      </c>
      <c r="F80" s="5">
        <v>102.3</v>
      </c>
      <c r="H80" s="22">
        <v>-8.6E-3</v>
      </c>
      <c r="I80" s="34">
        <f t="shared" si="4"/>
        <v>4.3877551020408134E-2</v>
      </c>
    </row>
    <row r="81" spans="2:9" x14ac:dyDescent="0.35">
      <c r="B81" s="42">
        <v>27973</v>
      </c>
      <c r="C81" s="5">
        <v>102.9</v>
      </c>
      <c r="D81" s="5">
        <v>102.9</v>
      </c>
      <c r="E81" s="5">
        <v>105.4</v>
      </c>
      <c r="F81" s="5">
        <v>100.4</v>
      </c>
      <c r="H81" s="22">
        <v>-4.7999999999999996E-3</v>
      </c>
      <c r="I81" s="34">
        <f t="shared" si="4"/>
        <v>-1.85728250244378E-2</v>
      </c>
    </row>
    <row r="82" spans="2:9" x14ac:dyDescent="0.35">
      <c r="B82" s="42">
        <v>28004</v>
      </c>
      <c r="C82" s="5">
        <v>105.2</v>
      </c>
      <c r="D82" s="5">
        <v>105.2</v>
      </c>
      <c r="E82" s="5">
        <v>108.7</v>
      </c>
      <c r="F82" s="5">
        <v>102.6</v>
      </c>
      <c r="H82" s="22">
        <v>2.24E-2</v>
      </c>
      <c r="I82" s="34">
        <f t="shared" si="4"/>
        <v>2.1912350597609542E-2</v>
      </c>
    </row>
    <row r="83" spans="2:9" x14ac:dyDescent="0.35">
      <c r="B83" s="42">
        <v>28034</v>
      </c>
      <c r="C83" s="5">
        <v>102.9</v>
      </c>
      <c r="D83" s="5">
        <v>102.9</v>
      </c>
      <c r="E83" s="5">
        <v>105.8</v>
      </c>
      <c r="F83" s="5">
        <v>99.2</v>
      </c>
      <c r="H83" s="22">
        <v>-2.1899999999999999E-2</v>
      </c>
      <c r="I83" s="34">
        <f t="shared" si="4"/>
        <v>-3.3138401559454134E-2</v>
      </c>
    </row>
    <row r="84" spans="2:9" x14ac:dyDescent="0.35">
      <c r="B84" s="42">
        <v>28065</v>
      </c>
      <c r="C84" s="5">
        <v>102.1</v>
      </c>
      <c r="D84" s="5">
        <v>102.1</v>
      </c>
      <c r="E84" s="5">
        <v>103.8</v>
      </c>
      <c r="F84" s="5">
        <v>98.2</v>
      </c>
      <c r="H84" s="22">
        <v>-7.7999999999999996E-3</v>
      </c>
      <c r="I84" s="34">
        <f t="shared" si="4"/>
        <v>-1.0080645161290369E-2</v>
      </c>
    </row>
    <row r="85" spans="2:9" x14ac:dyDescent="0.35">
      <c r="B85" s="42">
        <v>28095</v>
      </c>
      <c r="C85" s="5">
        <v>107.5</v>
      </c>
      <c r="D85" s="5">
        <v>107.5</v>
      </c>
      <c r="E85" s="5">
        <v>107.8</v>
      </c>
      <c r="F85" s="5">
        <v>101.6</v>
      </c>
      <c r="H85" s="22">
        <v>5.2900000000000003E-2</v>
      </c>
      <c r="I85" s="34">
        <f t="shared" si="4"/>
        <v>3.4623217922606919E-2</v>
      </c>
    </row>
    <row r="86" spans="2:9" x14ac:dyDescent="0.35">
      <c r="B86" s="42">
        <v>28126</v>
      </c>
      <c r="C86" s="5">
        <v>102</v>
      </c>
      <c r="D86" s="5">
        <v>102</v>
      </c>
      <c r="E86" s="5">
        <v>108</v>
      </c>
      <c r="F86" s="5">
        <v>100.9</v>
      </c>
      <c r="H86" s="22">
        <v>-5.1200000000000002E-2</v>
      </c>
      <c r="I86" s="34">
        <f t="shared" si="4"/>
        <v>-6.8897637795274358E-3</v>
      </c>
    </row>
    <row r="87" spans="2:9" x14ac:dyDescent="0.35">
      <c r="B87" s="42">
        <v>28157</v>
      </c>
      <c r="C87" s="5">
        <v>99.8</v>
      </c>
      <c r="D87" s="5">
        <v>99.8</v>
      </c>
      <c r="E87" s="5">
        <v>103.3</v>
      </c>
      <c r="F87" s="5">
        <v>98.8</v>
      </c>
      <c r="H87" s="22">
        <v>-2.1600000000000001E-2</v>
      </c>
      <c r="I87" s="34">
        <f t="shared" si="4"/>
        <v>-2.0812685827552135E-2</v>
      </c>
    </row>
    <row r="88" spans="2:9" x14ac:dyDescent="0.35">
      <c r="B88" s="42">
        <v>28185</v>
      </c>
      <c r="C88" s="5">
        <v>98.4</v>
      </c>
      <c r="D88" s="5">
        <v>98.4</v>
      </c>
      <c r="E88" s="5">
        <v>102.7</v>
      </c>
      <c r="F88" s="5">
        <v>97.8</v>
      </c>
      <c r="H88" s="22">
        <v>-1.4E-2</v>
      </c>
      <c r="I88" s="34">
        <f t="shared" si="4"/>
        <v>-1.0121457489878583E-2</v>
      </c>
    </row>
    <row r="89" spans="2:9" x14ac:dyDescent="0.35">
      <c r="B89" s="42">
        <v>28216</v>
      </c>
      <c r="C89" s="5">
        <v>98.4</v>
      </c>
      <c r="D89" s="5">
        <v>98.4</v>
      </c>
      <c r="E89" s="5">
        <v>102.1</v>
      </c>
      <c r="F89" s="5">
        <v>96.5</v>
      </c>
      <c r="H89" s="22">
        <v>0</v>
      </c>
      <c r="I89" s="34">
        <f t="shared" si="4"/>
        <v>-1.3292433537832271E-2</v>
      </c>
    </row>
    <row r="90" spans="2:9" x14ac:dyDescent="0.35">
      <c r="B90" s="42">
        <v>28246</v>
      </c>
      <c r="C90" s="5">
        <v>96.1</v>
      </c>
      <c r="D90" s="5">
        <v>96.1</v>
      </c>
      <c r="E90" s="5">
        <v>100.9</v>
      </c>
      <c r="F90" s="5">
        <v>95.5</v>
      </c>
      <c r="H90" s="22">
        <v>-2.3400000000000001E-2</v>
      </c>
      <c r="I90" s="34">
        <f t="shared" si="4"/>
        <v>-1.0362694300518172E-2</v>
      </c>
    </row>
    <row r="91" spans="2:9" x14ac:dyDescent="0.35">
      <c r="B91" s="42">
        <v>28277</v>
      </c>
      <c r="C91" s="5">
        <v>100.5</v>
      </c>
      <c r="D91" s="5">
        <v>100.5</v>
      </c>
      <c r="E91" s="5">
        <v>101.7</v>
      </c>
      <c r="F91" s="5">
        <v>95.9</v>
      </c>
      <c r="H91" s="22">
        <v>4.58E-2</v>
      </c>
      <c r="I91" s="34">
        <f t="shared" si="4"/>
        <v>4.1884816753927634E-3</v>
      </c>
    </row>
    <row r="92" spans="2:9" x14ac:dyDescent="0.35">
      <c r="B92" s="42">
        <v>28307</v>
      </c>
      <c r="C92" s="5">
        <v>98.8</v>
      </c>
      <c r="D92" s="5">
        <v>98.8</v>
      </c>
      <c r="E92" s="5">
        <v>102.6</v>
      </c>
      <c r="F92" s="5">
        <v>97.7</v>
      </c>
      <c r="H92" s="22">
        <v>-1.6899999999999998E-2</v>
      </c>
      <c r="I92" s="34">
        <f t="shared" si="4"/>
        <v>1.8769551616266922E-2</v>
      </c>
    </row>
    <row r="93" spans="2:9" x14ac:dyDescent="0.35">
      <c r="B93" s="42">
        <v>28338</v>
      </c>
      <c r="C93" s="5">
        <v>96.8</v>
      </c>
      <c r="D93" s="5">
        <v>96.8</v>
      </c>
      <c r="E93" s="5">
        <v>99.8</v>
      </c>
      <c r="F93" s="5">
        <v>95</v>
      </c>
      <c r="H93" s="22">
        <v>-2.0199999999999999E-2</v>
      </c>
      <c r="I93" s="34">
        <f t="shared" si="4"/>
        <v>-2.7635619242579401E-2</v>
      </c>
    </row>
    <row r="94" spans="2:9" x14ac:dyDescent="0.35">
      <c r="B94" s="42">
        <v>28369</v>
      </c>
      <c r="C94" s="5">
        <v>96.5</v>
      </c>
      <c r="D94" s="5">
        <v>96.5</v>
      </c>
      <c r="E94" s="5">
        <v>98.4</v>
      </c>
      <c r="F94" s="5">
        <v>94.4</v>
      </c>
      <c r="H94" s="22">
        <v>-3.0999999999999999E-3</v>
      </c>
      <c r="I94" s="34">
        <f t="shared" si="4"/>
        <v>-6.3157894736841635E-3</v>
      </c>
    </row>
    <row r="95" spans="2:9" x14ac:dyDescent="0.35">
      <c r="B95" s="42">
        <v>28399</v>
      </c>
      <c r="C95" s="5">
        <v>92.3</v>
      </c>
      <c r="D95" s="5">
        <v>92.3</v>
      </c>
      <c r="E95" s="5">
        <v>97.3</v>
      </c>
      <c r="F95" s="5">
        <v>90.2</v>
      </c>
      <c r="H95" s="22">
        <v>-4.3499999999999997E-2</v>
      </c>
      <c r="I95" s="34">
        <f t="shared" si="4"/>
        <v>-4.4491525423728806E-2</v>
      </c>
    </row>
    <row r="96" spans="2:9" x14ac:dyDescent="0.35">
      <c r="B96" s="42">
        <v>28430</v>
      </c>
      <c r="C96" s="5">
        <v>94.8</v>
      </c>
      <c r="D96" s="5">
        <v>94.8</v>
      </c>
      <c r="E96" s="5">
        <v>97.1</v>
      </c>
      <c r="F96" s="5">
        <v>90</v>
      </c>
      <c r="H96" s="22">
        <v>2.7099999999999999E-2</v>
      </c>
      <c r="I96" s="34">
        <f t="shared" si="4"/>
        <v>-2.2172949002217113E-3</v>
      </c>
    </row>
    <row r="97" spans="2:9" x14ac:dyDescent="0.35">
      <c r="B97" s="42">
        <v>28460</v>
      </c>
      <c r="C97" s="5">
        <v>95.1</v>
      </c>
      <c r="D97" s="5">
        <v>95.1</v>
      </c>
      <c r="E97" s="5">
        <v>95.7</v>
      </c>
      <c r="F97" s="5">
        <v>91.8</v>
      </c>
      <c r="H97" s="22">
        <v>3.2000000000000002E-3</v>
      </c>
      <c r="I97" s="34">
        <f t="shared" si="4"/>
        <v>2.0000000000000018E-2</v>
      </c>
    </row>
    <row r="98" spans="2:9" x14ac:dyDescent="0.35">
      <c r="B98" s="42">
        <v>28491</v>
      </c>
      <c r="C98" s="5">
        <v>89.2</v>
      </c>
      <c r="D98" s="5">
        <v>94.7</v>
      </c>
      <c r="E98" s="5">
        <v>95.2</v>
      </c>
      <c r="F98" s="5">
        <v>88</v>
      </c>
      <c r="H98" s="22">
        <v>-6.2E-2</v>
      </c>
      <c r="I98" s="34">
        <f t="shared" si="4"/>
        <v>-4.1394335511982572E-2</v>
      </c>
    </row>
    <row r="99" spans="2:9" x14ac:dyDescent="0.35">
      <c r="B99" s="42">
        <v>28522</v>
      </c>
      <c r="C99" s="5">
        <v>87</v>
      </c>
      <c r="D99" s="5">
        <v>89.3</v>
      </c>
      <c r="E99" s="5">
        <v>91.3</v>
      </c>
      <c r="F99" s="5">
        <v>86.6</v>
      </c>
      <c r="H99" s="22">
        <v>-2.47E-2</v>
      </c>
      <c r="I99" s="34">
        <f t="shared" si="4"/>
        <v>-1.5909090909090984E-2</v>
      </c>
    </row>
    <row r="100" spans="2:9" x14ac:dyDescent="0.35">
      <c r="B100" s="42">
        <v>28550</v>
      </c>
      <c r="C100" s="5">
        <v>89.2</v>
      </c>
      <c r="D100" s="5">
        <v>86.7</v>
      </c>
      <c r="E100" s="5">
        <v>91.3</v>
      </c>
      <c r="F100" s="5">
        <v>86.4</v>
      </c>
      <c r="H100" s="22">
        <v>2.53E-2</v>
      </c>
      <c r="I100" s="34">
        <f t="shared" si="4"/>
        <v>-2.3094688221707571E-3</v>
      </c>
    </row>
    <row r="101" spans="2:9" x14ac:dyDescent="0.35">
      <c r="B101" s="42">
        <v>28581</v>
      </c>
      <c r="C101" s="5">
        <v>96.8</v>
      </c>
      <c r="D101" s="5">
        <v>88.8</v>
      </c>
      <c r="E101" s="5">
        <v>97.9</v>
      </c>
      <c r="F101" s="5">
        <v>88.1</v>
      </c>
      <c r="H101" s="22">
        <v>8.5199999999999998E-2</v>
      </c>
      <c r="I101" s="34">
        <f t="shared" si="4"/>
        <v>1.9675925925925819E-2</v>
      </c>
    </row>
    <row r="102" spans="2:9" x14ac:dyDescent="0.35">
      <c r="B102" s="42">
        <v>28611</v>
      </c>
      <c r="C102" s="5">
        <v>97.2</v>
      </c>
      <c r="D102" s="5">
        <v>96.9</v>
      </c>
      <c r="E102" s="5">
        <v>100.3</v>
      </c>
      <c r="F102" s="5">
        <v>94.6</v>
      </c>
      <c r="H102" s="22">
        <v>4.1000000000000003E-3</v>
      </c>
      <c r="I102" s="34">
        <f t="shared" si="4"/>
        <v>7.3779795686719662E-2</v>
      </c>
    </row>
    <row r="103" spans="2:9" x14ac:dyDescent="0.35">
      <c r="B103" s="42">
        <v>28642</v>
      </c>
      <c r="C103" s="5">
        <v>95.5</v>
      </c>
      <c r="D103" s="5">
        <v>97.3</v>
      </c>
      <c r="E103" s="5">
        <v>101.8</v>
      </c>
      <c r="F103" s="5">
        <v>94</v>
      </c>
      <c r="H103" s="22">
        <v>-1.7500000000000002E-2</v>
      </c>
      <c r="I103" s="34">
        <f t="shared" si="4"/>
        <v>-6.3424947145876986E-3</v>
      </c>
    </row>
    <row r="104" spans="2:9" x14ac:dyDescent="0.35">
      <c r="B104" s="42">
        <v>28672</v>
      </c>
      <c r="C104" s="5">
        <v>100.7</v>
      </c>
      <c r="D104" s="5">
        <v>95.2</v>
      </c>
      <c r="E104" s="5">
        <v>101.2</v>
      </c>
      <c r="F104" s="5">
        <v>93.6</v>
      </c>
      <c r="H104" s="22">
        <v>5.45E-2</v>
      </c>
      <c r="I104" s="34">
        <f t="shared" si="4"/>
        <v>-4.2553191489361764E-3</v>
      </c>
    </row>
    <row r="105" spans="2:9" x14ac:dyDescent="0.35">
      <c r="B105" s="42">
        <v>28703</v>
      </c>
      <c r="C105" s="5">
        <v>103.3</v>
      </c>
      <c r="D105" s="5">
        <v>100.9</v>
      </c>
      <c r="E105" s="5">
        <v>106.3</v>
      </c>
      <c r="F105" s="5">
        <v>99.9</v>
      </c>
      <c r="H105" s="22">
        <v>2.58E-2</v>
      </c>
      <c r="I105" s="34">
        <f t="shared" si="4"/>
        <v>6.7307692307692513E-2</v>
      </c>
    </row>
    <row r="106" spans="2:9" x14ac:dyDescent="0.35">
      <c r="B106" s="42">
        <v>28734</v>
      </c>
      <c r="C106" s="5">
        <v>102.5</v>
      </c>
      <c r="D106" s="5">
        <v>103.2</v>
      </c>
      <c r="E106" s="5">
        <v>108.1</v>
      </c>
      <c r="F106" s="5">
        <v>100.7</v>
      </c>
      <c r="H106" s="22">
        <v>-7.7000000000000002E-3</v>
      </c>
      <c r="I106" s="34">
        <f t="shared" si="4"/>
        <v>8.0080080080080496E-3</v>
      </c>
    </row>
    <row r="107" spans="2:9" x14ac:dyDescent="0.35">
      <c r="B107" s="42">
        <v>28764</v>
      </c>
      <c r="C107" s="5">
        <v>93.2</v>
      </c>
      <c r="D107" s="5">
        <v>102.3</v>
      </c>
      <c r="E107" s="5">
        <v>106.2</v>
      </c>
      <c r="F107" s="5">
        <v>91.7</v>
      </c>
      <c r="H107" s="22">
        <v>-9.0700000000000003E-2</v>
      </c>
      <c r="I107" s="34">
        <f t="shared" si="4"/>
        <v>-8.9374379344587918E-2</v>
      </c>
    </row>
    <row r="108" spans="2:9" x14ac:dyDescent="0.35">
      <c r="B108" s="42">
        <v>28795</v>
      </c>
      <c r="C108" s="5">
        <v>94.7</v>
      </c>
      <c r="D108" s="5">
        <v>94.6</v>
      </c>
      <c r="E108" s="5">
        <v>97.4</v>
      </c>
      <c r="F108" s="5">
        <v>91.8</v>
      </c>
      <c r="H108" s="22">
        <v>1.61E-2</v>
      </c>
      <c r="I108" s="34">
        <f t="shared" si="4"/>
        <v>1.0905125408942062E-3</v>
      </c>
    </row>
    <row r="109" spans="2:9" x14ac:dyDescent="0.35">
      <c r="B109" s="42">
        <v>28825</v>
      </c>
      <c r="C109" s="5">
        <v>96.1</v>
      </c>
      <c r="D109" s="5">
        <v>95.6</v>
      </c>
      <c r="E109" s="5">
        <v>98.6</v>
      </c>
      <c r="F109" s="5">
        <v>92.6</v>
      </c>
      <c r="H109" s="22">
        <v>1.4800000000000001E-2</v>
      </c>
      <c r="I109" s="34">
        <f t="shared" si="4"/>
        <v>8.7145969498909626E-3</v>
      </c>
    </row>
    <row r="110" spans="2:9" x14ac:dyDescent="0.35">
      <c r="B110" s="42">
        <v>28856</v>
      </c>
      <c r="C110" s="5">
        <v>99.9</v>
      </c>
      <c r="D110" s="5">
        <v>95.8</v>
      </c>
      <c r="E110" s="5">
        <v>102.6</v>
      </c>
      <c r="F110" s="5">
        <v>95.2</v>
      </c>
      <c r="H110" s="22">
        <v>3.95E-2</v>
      </c>
      <c r="I110" s="34">
        <f t="shared" si="4"/>
        <v>2.8077753779697678E-2</v>
      </c>
    </row>
    <row r="111" spans="2:9" x14ac:dyDescent="0.35">
      <c r="B111" s="42">
        <v>28887</v>
      </c>
      <c r="C111" s="5">
        <v>96.3</v>
      </c>
      <c r="D111" s="5">
        <v>99.5</v>
      </c>
      <c r="E111" s="5">
        <v>100.5</v>
      </c>
      <c r="F111" s="5">
        <v>95.4</v>
      </c>
      <c r="H111" s="22">
        <v>-3.5999999999999997E-2</v>
      </c>
      <c r="I111" s="34">
        <f t="shared" si="4"/>
        <v>2.1008403361344463E-3</v>
      </c>
    </row>
    <row r="112" spans="2:9" x14ac:dyDescent="0.35">
      <c r="B112" s="42">
        <v>28915</v>
      </c>
      <c r="C112" s="5">
        <v>101.6</v>
      </c>
      <c r="D112" s="5">
        <v>96.4</v>
      </c>
      <c r="E112" s="5">
        <v>103.3</v>
      </c>
      <c r="F112" s="5">
        <v>96</v>
      </c>
      <c r="H112" s="22">
        <v>5.5E-2</v>
      </c>
      <c r="I112" s="34">
        <f t="shared" si="4"/>
        <v>6.2893081761006275E-3</v>
      </c>
    </row>
    <row r="113" spans="2:9" x14ac:dyDescent="0.35">
      <c r="B113" s="42">
        <v>28946</v>
      </c>
      <c r="C113" s="5">
        <v>101.8</v>
      </c>
      <c r="D113" s="5">
        <v>101.1</v>
      </c>
      <c r="E113" s="5">
        <v>103.9</v>
      </c>
      <c r="F113" s="5">
        <v>100.1</v>
      </c>
      <c r="H113" s="22">
        <v>2E-3</v>
      </c>
      <c r="I113" s="34">
        <f t="shared" si="4"/>
        <v>4.2708333333333348E-2</v>
      </c>
    </row>
    <row r="114" spans="2:9" x14ac:dyDescent="0.35">
      <c r="B114" s="42">
        <v>28976</v>
      </c>
      <c r="C114" s="5">
        <v>99.1</v>
      </c>
      <c r="D114" s="5">
        <v>101.8</v>
      </c>
      <c r="E114" s="5">
        <v>102.6</v>
      </c>
      <c r="F114" s="5">
        <v>97.5</v>
      </c>
      <c r="H114" s="22">
        <v>-2.6499999999999999E-2</v>
      </c>
      <c r="I114" s="34">
        <f t="shared" si="4"/>
        <v>-2.5974025974025872E-2</v>
      </c>
    </row>
    <row r="115" spans="2:9" x14ac:dyDescent="0.35">
      <c r="B115" s="42">
        <v>29007</v>
      </c>
      <c r="C115" s="5">
        <v>102.9</v>
      </c>
      <c r="D115" s="5">
        <v>99.1</v>
      </c>
      <c r="E115" s="5">
        <v>103.7</v>
      </c>
      <c r="F115" s="5">
        <v>98.6</v>
      </c>
      <c r="H115" s="22">
        <v>3.8300000000000001E-2</v>
      </c>
      <c r="I115" s="34">
        <f t="shared" si="4"/>
        <v>1.1282051282051286E-2</v>
      </c>
    </row>
    <row r="116" spans="2:9" x14ac:dyDescent="0.35">
      <c r="B116" s="42">
        <v>29037</v>
      </c>
      <c r="C116" s="5">
        <v>103.8</v>
      </c>
      <c r="D116" s="5">
        <v>102.6</v>
      </c>
      <c r="E116" s="5">
        <v>105.2</v>
      </c>
      <c r="F116" s="5">
        <v>100.3</v>
      </c>
      <c r="H116" s="22">
        <v>8.6999999999999994E-3</v>
      </c>
      <c r="I116" s="34">
        <f t="shared" si="4"/>
        <v>1.7241379310344751E-2</v>
      </c>
    </row>
    <row r="117" spans="2:9" x14ac:dyDescent="0.35">
      <c r="B117" s="42">
        <v>29068</v>
      </c>
      <c r="C117" s="5">
        <v>109.3</v>
      </c>
      <c r="D117" s="5">
        <v>103.8</v>
      </c>
      <c r="E117" s="5">
        <v>109.8</v>
      </c>
      <c r="F117" s="5">
        <v>103.1</v>
      </c>
      <c r="H117" s="22">
        <v>5.2999999999999999E-2</v>
      </c>
      <c r="I117" s="34">
        <f t="shared" si="4"/>
        <v>2.7916251246261181E-2</v>
      </c>
    </row>
    <row r="118" spans="2:9" x14ac:dyDescent="0.35">
      <c r="B118" s="42">
        <v>29099</v>
      </c>
      <c r="C118" s="5">
        <v>109.3</v>
      </c>
      <c r="D118" s="5">
        <v>109.1</v>
      </c>
      <c r="E118" s="5">
        <v>111.6</v>
      </c>
      <c r="F118" s="5">
        <v>105.4</v>
      </c>
      <c r="H118" s="22">
        <v>0</v>
      </c>
      <c r="I118" s="34">
        <f t="shared" si="4"/>
        <v>2.2308438409311515E-2</v>
      </c>
    </row>
    <row r="119" spans="2:9" x14ac:dyDescent="0.35">
      <c r="B119" s="42">
        <v>29129</v>
      </c>
      <c r="C119" s="5">
        <v>101.8</v>
      </c>
      <c r="D119" s="5">
        <v>101.8</v>
      </c>
      <c r="E119" s="5">
        <v>112.2</v>
      </c>
      <c r="F119" s="5">
        <v>99.1</v>
      </c>
      <c r="H119" s="22">
        <v>-6.8599999999999994E-2</v>
      </c>
      <c r="I119" s="34">
        <f t="shared" si="4"/>
        <v>-5.9772296015180415E-2</v>
      </c>
    </row>
    <row r="120" spans="2:9" x14ac:dyDescent="0.35">
      <c r="B120" s="42">
        <v>29160</v>
      </c>
      <c r="C120" s="5">
        <v>106.2</v>
      </c>
      <c r="D120" s="5">
        <v>106.2</v>
      </c>
      <c r="E120" s="5">
        <v>107.9</v>
      </c>
      <c r="F120" s="5">
        <v>99.4</v>
      </c>
      <c r="H120" s="22">
        <v>4.3200000000000002E-2</v>
      </c>
      <c r="I120" s="34">
        <f t="shared" si="4"/>
        <v>3.0272452068618172E-3</v>
      </c>
    </row>
    <row r="121" spans="2:9" x14ac:dyDescent="0.35">
      <c r="B121" s="42">
        <v>29190</v>
      </c>
      <c r="C121" s="5">
        <v>107.9</v>
      </c>
      <c r="D121" s="5">
        <v>107.9</v>
      </c>
      <c r="E121" s="5">
        <v>110.3</v>
      </c>
      <c r="F121" s="5">
        <v>105.1</v>
      </c>
      <c r="H121" s="22">
        <v>1.6E-2</v>
      </c>
      <c r="I121" s="34">
        <f t="shared" si="4"/>
        <v>5.7344064386317894E-2</v>
      </c>
    </row>
    <row r="122" spans="2:9" x14ac:dyDescent="0.35">
      <c r="B122" s="42">
        <v>29221</v>
      </c>
      <c r="C122" s="5">
        <v>114.2</v>
      </c>
      <c r="D122" s="5">
        <v>107.9</v>
      </c>
      <c r="E122" s="5">
        <v>117.2</v>
      </c>
      <c r="F122" s="5">
        <v>103.3</v>
      </c>
      <c r="H122" s="22">
        <v>5.8400000000000001E-2</v>
      </c>
      <c r="I122" s="34">
        <f t="shared" si="4"/>
        <v>-1.7126546146527089E-2</v>
      </c>
    </row>
    <row r="123" spans="2:9" x14ac:dyDescent="0.35">
      <c r="B123" s="42">
        <v>29252</v>
      </c>
      <c r="C123" s="5">
        <v>113.7</v>
      </c>
      <c r="D123" s="5">
        <v>115.4</v>
      </c>
      <c r="E123" s="5">
        <v>120.2</v>
      </c>
      <c r="F123" s="5">
        <v>111.3</v>
      </c>
      <c r="H123" s="22">
        <v>-4.4000000000000003E-3</v>
      </c>
      <c r="I123" s="34">
        <f t="shared" si="4"/>
        <v>7.744433688286545E-2</v>
      </c>
    </row>
    <row r="124" spans="2:9" x14ac:dyDescent="0.35">
      <c r="B124" s="42">
        <v>29281</v>
      </c>
      <c r="C124" s="5">
        <v>102.1</v>
      </c>
      <c r="D124" s="5">
        <v>102.1</v>
      </c>
      <c r="E124" s="5">
        <v>114.3</v>
      </c>
      <c r="F124" s="5">
        <v>94.2</v>
      </c>
      <c r="H124" s="22">
        <v>-0.10199999999999999</v>
      </c>
      <c r="I124" s="34">
        <f t="shared" si="4"/>
        <v>-0.15363881401617241</v>
      </c>
    </row>
    <row r="125" spans="2:9" x14ac:dyDescent="0.35">
      <c r="B125" s="42">
        <v>29312</v>
      </c>
      <c r="C125" s="5">
        <v>106.3</v>
      </c>
      <c r="D125" s="5">
        <v>106.3</v>
      </c>
      <c r="E125" s="5">
        <v>106.8</v>
      </c>
      <c r="F125" s="5">
        <v>98.9</v>
      </c>
      <c r="H125" s="22">
        <v>4.1099999999999998E-2</v>
      </c>
      <c r="I125" s="34">
        <f t="shared" si="4"/>
        <v>4.9893842887473561E-2</v>
      </c>
    </row>
    <row r="126" spans="2:9" x14ac:dyDescent="0.35">
      <c r="B126" s="42">
        <v>29342</v>
      </c>
      <c r="C126" s="5">
        <v>111.2</v>
      </c>
      <c r="D126" s="5">
        <v>107.9</v>
      </c>
      <c r="E126" s="5">
        <v>112.7</v>
      </c>
      <c r="F126" s="5">
        <v>103.5</v>
      </c>
      <c r="H126" s="22">
        <v>4.6100000000000002E-2</v>
      </c>
      <c r="I126" s="34">
        <f t="shared" si="4"/>
        <v>4.6511627906976605E-2</v>
      </c>
    </row>
    <row r="127" spans="2:9" x14ac:dyDescent="0.35">
      <c r="B127" s="42">
        <v>29373</v>
      </c>
      <c r="C127" s="5">
        <v>114.2</v>
      </c>
      <c r="D127" s="5">
        <v>110.9</v>
      </c>
      <c r="E127" s="5">
        <v>118</v>
      </c>
      <c r="F127" s="5">
        <v>109.8</v>
      </c>
      <c r="H127" s="22">
        <v>2.7E-2</v>
      </c>
      <c r="I127" s="34">
        <f t="shared" si="4"/>
        <v>6.0869565217391175E-2</v>
      </c>
    </row>
    <row r="128" spans="2:9" x14ac:dyDescent="0.35">
      <c r="B128" s="42">
        <v>29403</v>
      </c>
      <c r="C128" s="5">
        <v>121.7</v>
      </c>
      <c r="D128" s="5">
        <v>114.1</v>
      </c>
      <c r="E128" s="5">
        <v>123.9</v>
      </c>
      <c r="F128" s="5">
        <v>113.5</v>
      </c>
      <c r="H128" s="22">
        <v>6.5699999999999995E-2</v>
      </c>
      <c r="I128" s="34">
        <f t="shared" si="4"/>
        <v>3.3697632058287796E-2</v>
      </c>
    </row>
    <row r="129" spans="2:9" x14ac:dyDescent="0.35">
      <c r="B129" s="42">
        <v>29434</v>
      </c>
      <c r="C129" s="5">
        <v>122.4</v>
      </c>
      <c r="D129" s="5">
        <v>121.4</v>
      </c>
      <c r="E129" s="5">
        <v>127.8</v>
      </c>
      <c r="F129" s="5">
        <v>119.4</v>
      </c>
      <c r="H129" s="22">
        <v>5.7999999999999996E-3</v>
      </c>
      <c r="I129" s="34">
        <f t="shared" si="4"/>
        <v>5.1982378854625644E-2</v>
      </c>
    </row>
    <row r="130" spans="2:9" x14ac:dyDescent="0.35">
      <c r="B130" s="42">
        <v>29465</v>
      </c>
      <c r="C130" s="5">
        <v>125.5</v>
      </c>
      <c r="D130" s="5">
        <v>122.4</v>
      </c>
      <c r="E130" s="5">
        <v>132.19999999999999</v>
      </c>
      <c r="F130" s="5">
        <v>121.8</v>
      </c>
      <c r="H130" s="22">
        <v>2.53E-2</v>
      </c>
      <c r="I130" s="34">
        <f t="shared" si="4"/>
        <v>2.0100502512562679E-2</v>
      </c>
    </row>
    <row r="131" spans="2:9" x14ac:dyDescent="0.35">
      <c r="B131" s="42">
        <v>29495</v>
      </c>
      <c r="C131" s="5">
        <v>127.5</v>
      </c>
      <c r="D131" s="5">
        <v>125.7</v>
      </c>
      <c r="E131" s="5">
        <v>135.9</v>
      </c>
      <c r="F131" s="5">
        <v>124.3</v>
      </c>
      <c r="H131" s="22">
        <v>1.5900000000000001E-2</v>
      </c>
      <c r="I131" s="34">
        <f t="shared" si="4"/>
        <v>2.0525451559934238E-2</v>
      </c>
    </row>
    <row r="132" spans="2:9" x14ac:dyDescent="0.35">
      <c r="B132" s="42">
        <v>29526</v>
      </c>
      <c r="C132" s="5">
        <v>140.5</v>
      </c>
      <c r="D132" s="5">
        <v>128</v>
      </c>
      <c r="E132" s="5">
        <v>142</v>
      </c>
      <c r="F132" s="5">
        <v>127.2</v>
      </c>
      <c r="H132" s="22">
        <v>0.10199999999999999</v>
      </c>
      <c r="I132" s="34">
        <f t="shared" si="4"/>
        <v>2.3330651649235756E-2</v>
      </c>
    </row>
    <row r="133" spans="2:9" x14ac:dyDescent="0.35">
      <c r="B133" s="42">
        <v>29556</v>
      </c>
      <c r="C133" s="5">
        <v>135.80000000000001</v>
      </c>
      <c r="D133" s="5">
        <v>139.6</v>
      </c>
      <c r="E133" s="5">
        <v>140.69999999999999</v>
      </c>
      <c r="F133" s="5">
        <v>125.3</v>
      </c>
      <c r="H133" s="22">
        <v>-3.3500000000000002E-2</v>
      </c>
      <c r="I133" s="34">
        <f t="shared" ref="I133:I196" si="5">F133/F132-1</f>
        <v>-1.4937106918239018E-2</v>
      </c>
    </row>
    <row r="134" spans="2:9" x14ac:dyDescent="0.35">
      <c r="B134" s="42">
        <v>29587</v>
      </c>
      <c r="C134" s="5">
        <v>129.6</v>
      </c>
      <c r="D134" s="5">
        <v>135.69999999999999</v>
      </c>
      <c r="E134" s="5">
        <v>140.30000000000001</v>
      </c>
      <c r="F134" s="5">
        <v>128.6</v>
      </c>
      <c r="H134" s="22">
        <v>-4.5699999999999998E-2</v>
      </c>
      <c r="I134" s="34">
        <f t="shared" si="5"/>
        <v>2.6336791699920203E-2</v>
      </c>
    </row>
    <row r="135" spans="2:9" x14ac:dyDescent="0.35">
      <c r="B135" s="42">
        <v>29618</v>
      </c>
      <c r="C135" s="5">
        <v>131.30000000000001</v>
      </c>
      <c r="D135" s="5">
        <v>128.9</v>
      </c>
      <c r="E135" s="5">
        <v>132</v>
      </c>
      <c r="F135" s="5">
        <v>124.7</v>
      </c>
      <c r="H135" s="22">
        <v>1.3100000000000001E-2</v>
      </c>
      <c r="I135" s="34">
        <f t="shared" si="5"/>
        <v>-3.0326594090202108E-2</v>
      </c>
    </row>
    <row r="136" spans="2:9" x14ac:dyDescent="0.35">
      <c r="B136" s="42">
        <v>29646</v>
      </c>
      <c r="C136" s="5">
        <v>136</v>
      </c>
      <c r="D136" s="5">
        <v>131.1</v>
      </c>
      <c r="E136" s="5">
        <v>138.4</v>
      </c>
      <c r="F136" s="5">
        <v>128.6</v>
      </c>
      <c r="H136" s="22">
        <v>3.5799999999999998E-2</v>
      </c>
      <c r="I136" s="34">
        <f t="shared" si="5"/>
        <v>3.1275060144346334E-2</v>
      </c>
    </row>
    <row r="137" spans="2:9" x14ac:dyDescent="0.35">
      <c r="B137" s="42">
        <v>29677</v>
      </c>
      <c r="C137" s="5">
        <v>132.80000000000001</v>
      </c>
      <c r="D137" s="5">
        <v>136.4</v>
      </c>
      <c r="E137" s="5">
        <v>137.69999999999999</v>
      </c>
      <c r="F137" s="5">
        <v>131.6</v>
      </c>
      <c r="H137" s="22">
        <v>-2.35E-2</v>
      </c>
      <c r="I137" s="34">
        <f t="shared" si="5"/>
        <v>2.3328149300155587E-2</v>
      </c>
    </row>
    <row r="138" spans="2:9" x14ac:dyDescent="0.35">
      <c r="B138" s="42">
        <v>29707</v>
      </c>
      <c r="C138" s="5">
        <v>132.6</v>
      </c>
      <c r="D138" s="5">
        <v>133.1</v>
      </c>
      <c r="E138" s="5">
        <v>134.9</v>
      </c>
      <c r="F138" s="5">
        <v>128.80000000000001</v>
      </c>
      <c r="H138" s="22">
        <v>-1.5E-3</v>
      </c>
      <c r="I138" s="34">
        <f t="shared" si="5"/>
        <v>-2.1276595744680771E-2</v>
      </c>
    </row>
    <row r="139" spans="2:9" x14ac:dyDescent="0.35">
      <c r="B139" s="42">
        <v>29738</v>
      </c>
      <c r="C139" s="5">
        <v>131.19999999999999</v>
      </c>
      <c r="D139" s="5">
        <v>133.30000000000001</v>
      </c>
      <c r="E139" s="5">
        <v>135.69999999999999</v>
      </c>
      <c r="F139" s="5">
        <v>128.80000000000001</v>
      </c>
      <c r="H139" s="22">
        <v>-1.06E-2</v>
      </c>
      <c r="I139" s="34">
        <f t="shared" si="5"/>
        <v>0</v>
      </c>
    </row>
    <row r="140" spans="2:9" x14ac:dyDescent="0.35">
      <c r="B140" s="42">
        <v>29768</v>
      </c>
      <c r="C140" s="5">
        <v>130.9</v>
      </c>
      <c r="D140" s="5">
        <v>130.69999999999999</v>
      </c>
      <c r="E140" s="5">
        <v>131.80000000000001</v>
      </c>
      <c r="F140" s="5">
        <v>126</v>
      </c>
      <c r="H140" s="22">
        <v>-2.3E-3</v>
      </c>
      <c r="I140" s="34">
        <f t="shared" si="5"/>
        <v>-2.1739130434782705E-2</v>
      </c>
    </row>
    <row r="141" spans="2:9" x14ac:dyDescent="0.35">
      <c r="B141" s="42">
        <v>29799</v>
      </c>
      <c r="C141" s="5">
        <v>122.8</v>
      </c>
      <c r="D141" s="5">
        <v>130.69999999999999</v>
      </c>
      <c r="E141" s="5">
        <v>135.19999999999999</v>
      </c>
      <c r="F141" s="5">
        <v>122.3</v>
      </c>
      <c r="H141" s="22">
        <v>-6.1899999999999997E-2</v>
      </c>
      <c r="I141" s="34">
        <f t="shared" si="5"/>
        <v>-2.9365079365079372E-2</v>
      </c>
    </row>
    <row r="142" spans="2:9" x14ac:dyDescent="0.35">
      <c r="B142" s="42">
        <v>29830</v>
      </c>
      <c r="C142" s="5">
        <v>116.2</v>
      </c>
      <c r="D142" s="5">
        <v>122.8</v>
      </c>
      <c r="E142" s="5">
        <v>124.6</v>
      </c>
      <c r="F142" s="5">
        <v>110.2</v>
      </c>
      <c r="H142" s="22">
        <v>-5.3699999999999998E-2</v>
      </c>
      <c r="I142" s="34">
        <f t="shared" si="5"/>
        <v>-9.8937040065412929E-2</v>
      </c>
    </row>
    <row r="143" spans="2:9" x14ac:dyDescent="0.35">
      <c r="B143" s="42">
        <v>29860</v>
      </c>
      <c r="C143" s="5">
        <v>121.9</v>
      </c>
      <c r="D143" s="5">
        <v>115.8</v>
      </c>
      <c r="E143" s="5">
        <v>123.3</v>
      </c>
      <c r="F143" s="5">
        <v>115</v>
      </c>
      <c r="H143" s="22">
        <v>4.9099999999999998E-2</v>
      </c>
      <c r="I143" s="34">
        <f t="shared" si="5"/>
        <v>4.3557168784029043E-2</v>
      </c>
    </row>
    <row r="144" spans="2:9" x14ac:dyDescent="0.35">
      <c r="B144" s="42">
        <v>29891</v>
      </c>
      <c r="C144" s="5">
        <v>126.3</v>
      </c>
      <c r="D144" s="5">
        <v>123.5</v>
      </c>
      <c r="E144" s="5">
        <v>127</v>
      </c>
      <c r="F144" s="5">
        <v>119.1</v>
      </c>
      <c r="H144" s="22">
        <v>3.61E-2</v>
      </c>
      <c r="I144" s="34">
        <f t="shared" si="5"/>
        <v>3.5652173913043539E-2</v>
      </c>
    </row>
    <row r="145" spans="2:9" x14ac:dyDescent="0.35">
      <c r="B145" s="42">
        <v>29921</v>
      </c>
      <c r="C145" s="5">
        <v>122.6</v>
      </c>
      <c r="D145" s="5">
        <v>125.7</v>
      </c>
      <c r="E145" s="5">
        <v>127.3</v>
      </c>
      <c r="F145" s="5">
        <v>121</v>
      </c>
      <c r="H145" s="22">
        <v>-2.93E-2</v>
      </c>
      <c r="I145" s="34">
        <f t="shared" si="5"/>
        <v>1.5952980688497043E-2</v>
      </c>
    </row>
    <row r="146" spans="2:9" x14ac:dyDescent="0.35">
      <c r="B146" s="42">
        <v>29952</v>
      </c>
      <c r="C146" s="5">
        <v>120.4</v>
      </c>
      <c r="D146" s="5">
        <v>122.6</v>
      </c>
      <c r="E146" s="5">
        <v>123.7</v>
      </c>
      <c r="F146" s="5">
        <v>113.6</v>
      </c>
      <c r="H146" s="22">
        <v>-1.7899999999999999E-2</v>
      </c>
      <c r="I146" s="34">
        <f t="shared" si="5"/>
        <v>-6.115702479338847E-2</v>
      </c>
    </row>
    <row r="147" spans="2:9" x14ac:dyDescent="0.35">
      <c r="B147" s="42">
        <v>29983</v>
      </c>
      <c r="C147" s="5">
        <v>113.1</v>
      </c>
      <c r="D147" s="5">
        <v>118.7</v>
      </c>
      <c r="E147" s="5">
        <v>119.8</v>
      </c>
      <c r="F147" s="5">
        <v>110</v>
      </c>
      <c r="H147" s="22">
        <v>-6.0600000000000001E-2</v>
      </c>
      <c r="I147" s="34">
        <f t="shared" si="5"/>
        <v>-3.169014084507038E-2</v>
      </c>
    </row>
    <row r="148" spans="2:9" x14ac:dyDescent="0.35">
      <c r="B148" s="42">
        <v>30011</v>
      </c>
      <c r="C148" s="5">
        <v>112</v>
      </c>
      <c r="D148" s="5">
        <v>113.4</v>
      </c>
      <c r="E148" s="5">
        <v>114.8</v>
      </c>
      <c r="F148" s="5">
        <v>106.2</v>
      </c>
      <c r="H148" s="22">
        <v>-9.7000000000000003E-3</v>
      </c>
      <c r="I148" s="34">
        <f t="shared" si="5"/>
        <v>-3.4545454545454546E-2</v>
      </c>
    </row>
    <row r="149" spans="2:9" x14ac:dyDescent="0.35">
      <c r="B149" s="42">
        <v>30042</v>
      </c>
      <c r="C149" s="5">
        <v>116.4</v>
      </c>
      <c r="D149" s="5">
        <v>112.2</v>
      </c>
      <c r="E149" s="5">
        <v>120.1</v>
      </c>
      <c r="F149" s="5">
        <v>111.5</v>
      </c>
      <c r="H149" s="22">
        <v>3.9300000000000002E-2</v>
      </c>
      <c r="I149" s="34">
        <f t="shared" si="5"/>
        <v>4.9905838041431227E-2</v>
      </c>
    </row>
    <row r="150" spans="2:9" x14ac:dyDescent="0.35">
      <c r="B150" s="42">
        <v>30072</v>
      </c>
      <c r="C150" s="5">
        <v>111.9</v>
      </c>
      <c r="D150" s="5">
        <v>116</v>
      </c>
      <c r="E150" s="5">
        <v>120.6</v>
      </c>
      <c r="F150" s="5">
        <v>111.2</v>
      </c>
      <c r="H150" s="22">
        <v>-3.8699999999999998E-2</v>
      </c>
      <c r="I150" s="34">
        <f t="shared" si="5"/>
        <v>-2.6905829596411968E-3</v>
      </c>
    </row>
    <row r="151" spans="2:9" x14ac:dyDescent="0.35">
      <c r="B151" s="42">
        <v>30103</v>
      </c>
      <c r="C151" s="5">
        <v>109.6</v>
      </c>
      <c r="D151" s="5">
        <v>112</v>
      </c>
      <c r="E151" s="5">
        <v>113.1</v>
      </c>
      <c r="F151" s="5">
        <v>106.3</v>
      </c>
      <c r="H151" s="22">
        <v>-2.06E-2</v>
      </c>
      <c r="I151" s="34">
        <f t="shared" si="5"/>
        <v>-4.4064748201438908E-2</v>
      </c>
    </row>
    <row r="152" spans="2:9" x14ac:dyDescent="0.35">
      <c r="B152" s="42">
        <v>30133</v>
      </c>
      <c r="C152" s="5">
        <v>107.1</v>
      </c>
      <c r="D152" s="5">
        <v>109.5</v>
      </c>
      <c r="E152" s="5">
        <v>113.1</v>
      </c>
      <c r="F152" s="5">
        <v>105.1</v>
      </c>
      <c r="H152" s="22">
        <v>-2.2800000000000001E-2</v>
      </c>
      <c r="I152" s="34">
        <f t="shared" si="5"/>
        <v>-1.1288805268109159E-2</v>
      </c>
    </row>
    <row r="153" spans="2:9" x14ac:dyDescent="0.35">
      <c r="B153" s="42">
        <v>30164</v>
      </c>
      <c r="C153" s="5">
        <v>119.5</v>
      </c>
      <c r="D153" s="5">
        <v>108.2</v>
      </c>
      <c r="E153" s="5">
        <v>121.2</v>
      </c>
      <c r="F153" s="5">
        <v>101.4</v>
      </c>
      <c r="H153" s="22">
        <v>0.1158</v>
      </c>
      <c r="I153" s="34">
        <f t="shared" si="5"/>
        <v>-3.5204567078972349E-2</v>
      </c>
    </row>
    <row r="154" spans="2:9" x14ac:dyDescent="0.35">
      <c r="B154" s="42">
        <v>30195</v>
      </c>
      <c r="C154" s="5">
        <v>120.4</v>
      </c>
      <c r="D154" s="5">
        <v>120</v>
      </c>
      <c r="E154" s="5">
        <v>127.3</v>
      </c>
      <c r="F154" s="5">
        <v>117.2</v>
      </c>
      <c r="H154" s="22">
        <v>7.4999999999999997E-3</v>
      </c>
      <c r="I154" s="34">
        <f t="shared" si="5"/>
        <v>0.15581854043392496</v>
      </c>
    </row>
    <row r="155" spans="2:9" x14ac:dyDescent="0.35">
      <c r="B155" s="42">
        <v>30225</v>
      </c>
      <c r="C155" s="5">
        <v>133.69999999999999</v>
      </c>
      <c r="D155" s="5">
        <v>120.4</v>
      </c>
      <c r="E155" s="5">
        <v>141.4</v>
      </c>
      <c r="F155" s="5">
        <v>119.1</v>
      </c>
      <c r="H155" s="22">
        <v>0.1105</v>
      </c>
      <c r="I155" s="34">
        <f t="shared" si="5"/>
        <v>1.6211604095563104E-2</v>
      </c>
    </row>
    <row r="156" spans="2:9" x14ac:dyDescent="0.35">
      <c r="B156" s="42">
        <v>30256</v>
      </c>
      <c r="C156" s="5">
        <v>138.5</v>
      </c>
      <c r="D156" s="5">
        <v>133.69999999999999</v>
      </c>
      <c r="E156" s="5">
        <v>145.30000000000001</v>
      </c>
      <c r="F156" s="5">
        <v>132.1</v>
      </c>
      <c r="H156" s="22">
        <v>3.5900000000000001E-2</v>
      </c>
      <c r="I156" s="34">
        <f t="shared" si="5"/>
        <v>0.10915197313182201</v>
      </c>
    </row>
    <row r="157" spans="2:9" x14ac:dyDescent="0.35">
      <c r="B157" s="42">
        <v>30286</v>
      </c>
      <c r="C157" s="5">
        <v>140.6</v>
      </c>
      <c r="D157" s="5">
        <v>138.5</v>
      </c>
      <c r="E157" s="5">
        <v>144.69999999999999</v>
      </c>
      <c r="F157" s="5">
        <v>133.80000000000001</v>
      </c>
      <c r="H157" s="22">
        <v>1.52E-2</v>
      </c>
      <c r="I157" s="34">
        <f t="shared" si="5"/>
        <v>1.2869038607115968E-2</v>
      </c>
    </row>
    <row r="158" spans="2:9" x14ac:dyDescent="0.35">
      <c r="B158" s="42">
        <v>30317</v>
      </c>
      <c r="C158" s="5">
        <v>145.30000000000001</v>
      </c>
      <c r="D158" s="5">
        <v>140.6</v>
      </c>
      <c r="E158" s="5">
        <v>149.1</v>
      </c>
      <c r="F158" s="5">
        <v>137.30000000000001</v>
      </c>
      <c r="H158" s="22">
        <v>3.3399999999999999E-2</v>
      </c>
      <c r="I158" s="34">
        <f t="shared" si="5"/>
        <v>2.615844544095669E-2</v>
      </c>
    </row>
    <row r="159" spans="2:9" x14ac:dyDescent="0.35">
      <c r="B159" s="42">
        <v>30348</v>
      </c>
      <c r="C159" s="5">
        <v>148.1</v>
      </c>
      <c r="D159" s="5">
        <v>145.30000000000001</v>
      </c>
      <c r="E159" s="5">
        <v>151.80000000000001</v>
      </c>
      <c r="F159" s="5">
        <v>141</v>
      </c>
      <c r="H159" s="22">
        <v>1.9300000000000001E-2</v>
      </c>
      <c r="I159" s="34">
        <f t="shared" si="5"/>
        <v>2.6948288419519129E-2</v>
      </c>
    </row>
    <row r="160" spans="2:9" x14ac:dyDescent="0.35">
      <c r="B160" s="42">
        <v>30376</v>
      </c>
      <c r="C160" s="5">
        <v>153</v>
      </c>
      <c r="D160" s="5">
        <v>148.1</v>
      </c>
      <c r="E160" s="5">
        <v>156.4</v>
      </c>
      <c r="F160" s="5">
        <v>144.80000000000001</v>
      </c>
      <c r="H160" s="22">
        <v>3.3099999999999997E-2</v>
      </c>
      <c r="I160" s="34">
        <f t="shared" si="5"/>
        <v>2.6950354609929228E-2</v>
      </c>
    </row>
    <row r="161" spans="2:9" x14ac:dyDescent="0.35">
      <c r="B161" s="42">
        <v>30407</v>
      </c>
      <c r="C161" s="5">
        <v>164.4</v>
      </c>
      <c r="D161" s="5">
        <v>153</v>
      </c>
      <c r="E161" s="5">
        <v>165.4</v>
      </c>
      <c r="F161" s="5">
        <v>149.5</v>
      </c>
      <c r="H161" s="22">
        <v>7.4499999999999997E-2</v>
      </c>
      <c r="I161" s="34">
        <f t="shared" si="5"/>
        <v>3.2458563535911589E-2</v>
      </c>
    </row>
    <row r="162" spans="2:9" x14ac:dyDescent="0.35">
      <c r="B162" s="42">
        <v>30437</v>
      </c>
      <c r="C162" s="5">
        <v>162.4</v>
      </c>
      <c r="D162" s="5">
        <v>164.4</v>
      </c>
      <c r="E162" s="5">
        <v>167.7</v>
      </c>
      <c r="F162" s="5">
        <v>159.69999999999999</v>
      </c>
      <c r="H162" s="22">
        <v>-1.2200000000000001E-2</v>
      </c>
      <c r="I162" s="34">
        <f t="shared" si="5"/>
        <v>6.8227424749163879E-2</v>
      </c>
    </row>
    <row r="163" spans="2:9" x14ac:dyDescent="0.35">
      <c r="B163" s="42">
        <v>30468</v>
      </c>
      <c r="C163" s="5">
        <v>168.1</v>
      </c>
      <c r="D163" s="5">
        <v>162.4</v>
      </c>
      <c r="E163" s="5">
        <v>172.8</v>
      </c>
      <c r="F163" s="5">
        <v>160</v>
      </c>
      <c r="H163" s="22">
        <v>3.5099999999999999E-2</v>
      </c>
      <c r="I163" s="34">
        <f t="shared" si="5"/>
        <v>1.8785222291797243E-3</v>
      </c>
    </row>
    <row r="164" spans="2:9" x14ac:dyDescent="0.35">
      <c r="B164" s="42">
        <v>30498</v>
      </c>
      <c r="C164" s="5">
        <v>162.6</v>
      </c>
      <c r="D164" s="5">
        <v>168.1</v>
      </c>
      <c r="E164" s="5">
        <v>171.7</v>
      </c>
      <c r="F164" s="5">
        <v>160.6</v>
      </c>
      <c r="H164" s="22">
        <v>-3.27E-2</v>
      </c>
      <c r="I164" s="34">
        <f t="shared" si="5"/>
        <v>3.7499999999999201E-3</v>
      </c>
    </row>
    <row r="165" spans="2:9" x14ac:dyDescent="0.35">
      <c r="B165" s="42">
        <v>30529</v>
      </c>
      <c r="C165" s="5">
        <v>164.4</v>
      </c>
      <c r="D165" s="5">
        <v>162.6</v>
      </c>
      <c r="E165" s="5">
        <v>166.7</v>
      </c>
      <c r="F165" s="5">
        <v>157.6</v>
      </c>
      <c r="H165" s="22">
        <v>1.11E-2</v>
      </c>
      <c r="I165" s="34">
        <f t="shared" si="5"/>
        <v>-1.8679950186799466E-2</v>
      </c>
    </row>
    <row r="166" spans="2:9" x14ac:dyDescent="0.35">
      <c r="B166" s="42">
        <v>30560</v>
      </c>
      <c r="C166" s="5">
        <v>166.1</v>
      </c>
      <c r="D166" s="5">
        <v>164.4</v>
      </c>
      <c r="E166" s="5">
        <v>171.6</v>
      </c>
      <c r="F166" s="5">
        <v>162.80000000000001</v>
      </c>
      <c r="H166" s="22">
        <v>1.03E-2</v>
      </c>
      <c r="I166" s="34">
        <f t="shared" si="5"/>
        <v>3.2994923857868175E-2</v>
      </c>
    </row>
    <row r="167" spans="2:9" x14ac:dyDescent="0.35">
      <c r="B167" s="42">
        <v>30590</v>
      </c>
      <c r="C167" s="5">
        <v>163.6</v>
      </c>
      <c r="D167" s="5">
        <v>166.1</v>
      </c>
      <c r="E167" s="5">
        <v>173.1</v>
      </c>
      <c r="F167" s="5">
        <v>162</v>
      </c>
      <c r="H167" s="22">
        <v>-1.5100000000000001E-2</v>
      </c>
      <c r="I167" s="34">
        <f t="shared" si="5"/>
        <v>-4.9140049140049546E-3</v>
      </c>
    </row>
    <row r="168" spans="2:9" x14ac:dyDescent="0.35">
      <c r="B168" s="42">
        <v>30621</v>
      </c>
      <c r="C168" s="5">
        <v>166.4</v>
      </c>
      <c r="D168" s="5">
        <v>163.6</v>
      </c>
      <c r="E168" s="5">
        <v>169.1</v>
      </c>
      <c r="F168" s="5">
        <v>160.6</v>
      </c>
      <c r="H168" s="22">
        <v>1.7100000000000001E-2</v>
      </c>
      <c r="I168" s="34">
        <f t="shared" si="5"/>
        <v>-8.6419753086419693E-3</v>
      </c>
    </row>
    <row r="169" spans="2:9" x14ac:dyDescent="0.35">
      <c r="B169" s="42">
        <v>30651</v>
      </c>
      <c r="C169" s="5">
        <v>164.9</v>
      </c>
      <c r="D169" s="5">
        <v>166.4</v>
      </c>
      <c r="E169" s="5">
        <v>167.8</v>
      </c>
      <c r="F169" s="5">
        <v>160.6</v>
      </c>
      <c r="H169" s="22">
        <v>-8.9999999999999993E-3</v>
      </c>
      <c r="I169" s="34">
        <f t="shared" si="5"/>
        <v>0</v>
      </c>
    </row>
    <row r="170" spans="2:9" x14ac:dyDescent="0.35">
      <c r="B170" s="42">
        <v>30682</v>
      </c>
      <c r="C170" s="5">
        <v>163.4</v>
      </c>
      <c r="D170" s="5">
        <v>164.9</v>
      </c>
      <c r="E170" s="5">
        <v>169.5</v>
      </c>
      <c r="F170" s="5">
        <v>162</v>
      </c>
      <c r="H170" s="22">
        <v>-9.1000000000000004E-3</v>
      </c>
      <c r="I170" s="34">
        <f t="shared" si="5"/>
        <v>8.7173100871731357E-3</v>
      </c>
    </row>
    <row r="171" spans="2:9" x14ac:dyDescent="0.35">
      <c r="B171" s="42">
        <v>30713</v>
      </c>
      <c r="C171" s="5">
        <v>157.1</v>
      </c>
      <c r="D171" s="5">
        <v>163.4</v>
      </c>
      <c r="E171" s="5">
        <v>164</v>
      </c>
      <c r="F171" s="5">
        <v>152.1</v>
      </c>
      <c r="H171" s="22">
        <v>-3.8600000000000002E-2</v>
      </c>
      <c r="I171" s="34">
        <f t="shared" si="5"/>
        <v>-6.1111111111111116E-2</v>
      </c>
    </row>
    <row r="172" spans="2:9" x14ac:dyDescent="0.35">
      <c r="B172" s="42">
        <v>30742</v>
      </c>
      <c r="C172" s="5">
        <v>159.19999999999999</v>
      </c>
      <c r="D172" s="5">
        <v>157.1</v>
      </c>
      <c r="E172" s="5">
        <v>160.5</v>
      </c>
      <c r="F172" s="5">
        <v>153.80000000000001</v>
      </c>
      <c r="H172" s="22">
        <v>1.34E-2</v>
      </c>
      <c r="I172" s="34">
        <f t="shared" si="5"/>
        <v>1.1176857330703616E-2</v>
      </c>
    </row>
    <row r="173" spans="2:9" x14ac:dyDescent="0.35">
      <c r="B173" s="42">
        <v>30773</v>
      </c>
      <c r="C173" s="5">
        <v>160.1</v>
      </c>
      <c r="D173" s="5">
        <v>159.19999999999999</v>
      </c>
      <c r="E173" s="5">
        <v>160.69999999999999</v>
      </c>
      <c r="F173" s="5">
        <v>154.1</v>
      </c>
      <c r="H173" s="22">
        <v>5.7000000000000002E-3</v>
      </c>
      <c r="I173" s="34">
        <f t="shared" si="5"/>
        <v>1.9505851755525772E-3</v>
      </c>
    </row>
    <row r="174" spans="2:9" x14ac:dyDescent="0.35">
      <c r="B174" s="42">
        <v>30803</v>
      </c>
      <c r="C174" s="5">
        <v>150.6</v>
      </c>
      <c r="D174" s="5">
        <v>160.1</v>
      </c>
      <c r="E174" s="5">
        <v>162.1</v>
      </c>
      <c r="F174" s="5">
        <v>148.69999999999999</v>
      </c>
      <c r="H174" s="22">
        <v>-5.9299999999999999E-2</v>
      </c>
      <c r="I174" s="34">
        <f t="shared" si="5"/>
        <v>-3.5042180402336198E-2</v>
      </c>
    </row>
    <row r="175" spans="2:9" x14ac:dyDescent="0.35">
      <c r="B175" s="42">
        <v>30834</v>
      </c>
      <c r="C175" s="5">
        <v>153.19999999999999</v>
      </c>
      <c r="D175" s="5">
        <v>150.6</v>
      </c>
      <c r="E175" s="5">
        <v>155.6</v>
      </c>
      <c r="F175" s="5">
        <v>148.5</v>
      </c>
      <c r="H175" s="22">
        <v>1.7299999999999999E-2</v>
      </c>
      <c r="I175" s="34">
        <f t="shared" si="5"/>
        <v>-1.3449899125755893E-3</v>
      </c>
    </row>
    <row r="176" spans="2:9" x14ac:dyDescent="0.35">
      <c r="B176" s="42">
        <v>30864</v>
      </c>
      <c r="C176" s="5">
        <v>150.69999999999999</v>
      </c>
      <c r="D176" s="5">
        <v>153.19999999999999</v>
      </c>
      <c r="E176" s="5">
        <v>153.9</v>
      </c>
      <c r="F176" s="5">
        <v>147.30000000000001</v>
      </c>
      <c r="H176" s="22">
        <v>-1.6299999999999999E-2</v>
      </c>
      <c r="I176" s="34">
        <f t="shared" si="5"/>
        <v>-8.0808080808080218E-3</v>
      </c>
    </row>
    <row r="177" spans="2:9" x14ac:dyDescent="0.35">
      <c r="B177" s="42">
        <v>30895</v>
      </c>
      <c r="C177" s="5">
        <v>166.7</v>
      </c>
      <c r="D177" s="5">
        <v>150.69999999999999</v>
      </c>
      <c r="E177" s="5">
        <v>168.8</v>
      </c>
      <c r="F177" s="5">
        <v>150.69999999999999</v>
      </c>
      <c r="H177" s="22">
        <v>0.1062</v>
      </c>
      <c r="I177" s="34">
        <f t="shared" si="5"/>
        <v>2.3082145281737798E-2</v>
      </c>
    </row>
    <row r="178" spans="2:9" x14ac:dyDescent="0.35">
      <c r="B178" s="42">
        <v>30926</v>
      </c>
      <c r="C178" s="5">
        <v>166.1</v>
      </c>
      <c r="D178" s="5">
        <v>166.7</v>
      </c>
      <c r="E178" s="5">
        <v>169.7</v>
      </c>
      <c r="F178" s="5">
        <v>163.1</v>
      </c>
      <c r="H178" s="22">
        <v>-3.5999999999999999E-3</v>
      </c>
      <c r="I178" s="34">
        <f t="shared" si="5"/>
        <v>8.2282680822826748E-2</v>
      </c>
    </row>
    <row r="179" spans="2:9" x14ac:dyDescent="0.35">
      <c r="B179" s="42">
        <v>30956</v>
      </c>
      <c r="C179" s="5">
        <v>166.1</v>
      </c>
      <c r="D179" s="5">
        <v>166.1</v>
      </c>
      <c r="E179" s="5">
        <v>169.6</v>
      </c>
      <c r="F179" s="5">
        <v>160</v>
      </c>
      <c r="H179" s="22">
        <v>0</v>
      </c>
      <c r="I179" s="34">
        <f t="shared" si="5"/>
        <v>-1.9006744328632696E-2</v>
      </c>
    </row>
    <row r="180" spans="2:9" x14ac:dyDescent="0.35">
      <c r="B180" s="42">
        <v>30987</v>
      </c>
      <c r="C180" s="5">
        <v>163.6</v>
      </c>
      <c r="D180" s="5">
        <v>166.1</v>
      </c>
      <c r="E180" s="5">
        <v>170.4</v>
      </c>
      <c r="F180" s="5">
        <v>163</v>
      </c>
      <c r="H180" s="22">
        <v>-1.5100000000000001E-2</v>
      </c>
      <c r="I180" s="34">
        <f t="shared" si="5"/>
        <v>1.8750000000000044E-2</v>
      </c>
    </row>
    <row r="181" spans="2:9" x14ac:dyDescent="0.35">
      <c r="B181" s="42">
        <v>31017</v>
      </c>
      <c r="C181" s="5">
        <v>167.2</v>
      </c>
      <c r="D181" s="5">
        <v>163.6</v>
      </c>
      <c r="E181" s="5">
        <v>169</v>
      </c>
      <c r="F181" s="5">
        <v>161.5</v>
      </c>
      <c r="H181" s="22">
        <v>2.1999999999999999E-2</v>
      </c>
      <c r="I181" s="34">
        <f t="shared" si="5"/>
        <v>-9.2024539877300082E-3</v>
      </c>
    </row>
    <row r="182" spans="2:9" x14ac:dyDescent="0.35">
      <c r="B182" s="42">
        <v>31048</v>
      </c>
      <c r="C182" s="5">
        <v>179.6</v>
      </c>
      <c r="D182" s="5">
        <v>167.2</v>
      </c>
      <c r="E182" s="5">
        <v>180.3</v>
      </c>
      <c r="F182" s="5">
        <v>163.4</v>
      </c>
      <c r="H182" s="22">
        <v>7.4200000000000002E-2</v>
      </c>
      <c r="I182" s="34">
        <f t="shared" si="5"/>
        <v>1.1764705882352899E-2</v>
      </c>
    </row>
    <row r="183" spans="2:9" x14ac:dyDescent="0.35">
      <c r="B183" s="42">
        <v>31079</v>
      </c>
      <c r="C183" s="5">
        <v>181.2</v>
      </c>
      <c r="D183" s="5">
        <v>179.6</v>
      </c>
      <c r="E183" s="5">
        <v>183.9</v>
      </c>
      <c r="F183" s="5">
        <v>177.8</v>
      </c>
      <c r="H183" s="22">
        <v>8.8999999999999999E-3</v>
      </c>
      <c r="I183" s="34">
        <f t="shared" si="5"/>
        <v>8.812729498164007E-2</v>
      </c>
    </row>
    <row r="184" spans="2:9" x14ac:dyDescent="0.35">
      <c r="B184" s="42">
        <v>31107</v>
      </c>
      <c r="C184" s="5">
        <v>180.7</v>
      </c>
      <c r="D184" s="5">
        <v>181.2</v>
      </c>
      <c r="E184" s="5">
        <v>183.9</v>
      </c>
      <c r="F184" s="5">
        <v>176.5</v>
      </c>
      <c r="H184" s="22">
        <v>-2.8E-3</v>
      </c>
      <c r="I184" s="34">
        <f t="shared" si="5"/>
        <v>-7.311586051743646E-3</v>
      </c>
    </row>
    <row r="185" spans="2:9" x14ac:dyDescent="0.35">
      <c r="B185" s="42">
        <v>31138</v>
      </c>
      <c r="C185" s="5">
        <v>179.8</v>
      </c>
      <c r="D185" s="5">
        <v>180.7</v>
      </c>
      <c r="E185" s="5">
        <v>183.6</v>
      </c>
      <c r="F185" s="5">
        <v>177.9</v>
      </c>
      <c r="H185" s="22">
        <v>-5.0000000000000001E-3</v>
      </c>
      <c r="I185" s="34">
        <f t="shared" si="5"/>
        <v>7.9320113314447216E-3</v>
      </c>
    </row>
    <row r="186" spans="2:9" x14ac:dyDescent="0.35">
      <c r="B186" s="42">
        <v>31168</v>
      </c>
      <c r="C186" s="5">
        <v>189.6</v>
      </c>
      <c r="D186" s="5">
        <v>179.8</v>
      </c>
      <c r="E186" s="5">
        <v>190</v>
      </c>
      <c r="F186" s="5">
        <v>178.3</v>
      </c>
      <c r="H186" s="22">
        <v>5.45E-2</v>
      </c>
      <c r="I186" s="34">
        <f t="shared" si="5"/>
        <v>2.2484541877458852E-3</v>
      </c>
    </row>
    <row r="187" spans="2:9" x14ac:dyDescent="0.35">
      <c r="B187" s="42">
        <v>31199</v>
      </c>
      <c r="C187" s="5">
        <v>191.8</v>
      </c>
      <c r="D187" s="5">
        <v>189.6</v>
      </c>
      <c r="E187" s="5">
        <v>191.8</v>
      </c>
      <c r="F187" s="5">
        <v>185</v>
      </c>
      <c r="H187" s="22">
        <v>1.1599999999999999E-2</v>
      </c>
      <c r="I187" s="34">
        <f t="shared" si="5"/>
        <v>3.7577117218171585E-2</v>
      </c>
    </row>
    <row r="188" spans="2:9" x14ac:dyDescent="0.35">
      <c r="B188" s="42">
        <v>31229</v>
      </c>
      <c r="C188" s="5">
        <v>190.9</v>
      </c>
      <c r="D188" s="5">
        <v>191.8</v>
      </c>
      <c r="E188" s="5">
        <v>196.1</v>
      </c>
      <c r="F188" s="5">
        <v>189.3</v>
      </c>
      <c r="H188" s="22">
        <v>-4.7000000000000002E-3</v>
      </c>
      <c r="I188" s="34">
        <f t="shared" si="5"/>
        <v>2.3243243243243228E-2</v>
      </c>
    </row>
    <row r="189" spans="2:9" x14ac:dyDescent="0.35">
      <c r="B189" s="42">
        <v>31260</v>
      </c>
      <c r="C189" s="5">
        <v>188.6</v>
      </c>
      <c r="D189" s="5">
        <v>190.9</v>
      </c>
      <c r="E189" s="5">
        <v>192.2</v>
      </c>
      <c r="F189" s="5">
        <v>186.1</v>
      </c>
      <c r="H189" s="22">
        <v>-1.2E-2</v>
      </c>
      <c r="I189" s="34">
        <f t="shared" si="5"/>
        <v>-1.6904384574749187E-2</v>
      </c>
    </row>
    <row r="190" spans="2:9" x14ac:dyDescent="0.35">
      <c r="B190" s="42">
        <v>31291</v>
      </c>
      <c r="C190" s="5">
        <v>182.1</v>
      </c>
      <c r="D190" s="5">
        <v>188.6</v>
      </c>
      <c r="E190" s="5">
        <v>188.8</v>
      </c>
      <c r="F190" s="5">
        <v>179.4</v>
      </c>
      <c r="H190" s="22">
        <v>-3.4500000000000003E-2</v>
      </c>
      <c r="I190" s="34">
        <f t="shared" si="5"/>
        <v>-3.6002149382052595E-2</v>
      </c>
    </row>
    <row r="191" spans="2:9" x14ac:dyDescent="0.35">
      <c r="B191" s="42">
        <v>31321</v>
      </c>
      <c r="C191" s="5">
        <v>189.8</v>
      </c>
      <c r="D191" s="5">
        <v>182.1</v>
      </c>
      <c r="E191" s="5">
        <v>190.2</v>
      </c>
      <c r="F191" s="5">
        <v>181.2</v>
      </c>
      <c r="H191" s="22">
        <v>4.2299999999999997E-2</v>
      </c>
      <c r="I191" s="34">
        <f t="shared" si="5"/>
        <v>1.0033444816053505E-2</v>
      </c>
    </row>
    <row r="192" spans="2:9" x14ac:dyDescent="0.35">
      <c r="B192" s="42">
        <v>31352</v>
      </c>
      <c r="C192" s="5">
        <v>202.2</v>
      </c>
      <c r="D192" s="5">
        <v>189.8</v>
      </c>
      <c r="E192" s="5">
        <v>203.4</v>
      </c>
      <c r="F192" s="5">
        <v>189.4</v>
      </c>
      <c r="H192" s="22">
        <v>6.5299999999999997E-2</v>
      </c>
      <c r="I192" s="34">
        <f t="shared" si="5"/>
        <v>4.5253863134657957E-2</v>
      </c>
    </row>
    <row r="193" spans="2:9" x14ac:dyDescent="0.35">
      <c r="B193" s="42">
        <v>31382</v>
      </c>
      <c r="C193" s="5">
        <v>211.3</v>
      </c>
      <c r="D193" s="5">
        <v>202.2</v>
      </c>
      <c r="E193" s="5">
        <v>213.1</v>
      </c>
      <c r="F193" s="5">
        <v>200.1</v>
      </c>
      <c r="H193" s="22">
        <v>4.4999999999999998E-2</v>
      </c>
      <c r="I193" s="34">
        <f t="shared" si="5"/>
        <v>5.6494192185849945E-2</v>
      </c>
    </row>
    <row r="194" spans="2:9" x14ac:dyDescent="0.35">
      <c r="B194" s="42">
        <v>31413</v>
      </c>
      <c r="C194" s="5">
        <v>211.8</v>
      </c>
      <c r="D194" s="5">
        <v>211.3</v>
      </c>
      <c r="E194" s="5">
        <v>214.6</v>
      </c>
      <c r="F194" s="5">
        <v>202.6</v>
      </c>
      <c r="H194" s="22">
        <v>2.3999999999999998E-3</v>
      </c>
      <c r="I194" s="34">
        <f t="shared" si="5"/>
        <v>1.2493753123438367E-2</v>
      </c>
    </row>
    <row r="195" spans="2:9" x14ac:dyDescent="0.35">
      <c r="B195" s="42">
        <v>31444</v>
      </c>
      <c r="C195" s="5">
        <v>226.9</v>
      </c>
      <c r="D195" s="5">
        <v>211.8</v>
      </c>
      <c r="E195" s="5">
        <v>227.9</v>
      </c>
      <c r="F195" s="5">
        <v>210.8</v>
      </c>
      <c r="H195" s="22">
        <v>7.1300000000000002E-2</v>
      </c>
      <c r="I195" s="34">
        <f t="shared" si="5"/>
        <v>4.0473840078973478E-2</v>
      </c>
    </row>
    <row r="196" spans="2:9" x14ac:dyDescent="0.35">
      <c r="B196" s="42">
        <v>31472</v>
      </c>
      <c r="C196" s="5">
        <v>238.9</v>
      </c>
      <c r="D196" s="5">
        <v>226.9</v>
      </c>
      <c r="E196" s="5">
        <v>240.1</v>
      </c>
      <c r="F196" s="5">
        <v>222.2</v>
      </c>
      <c r="H196" s="22">
        <v>5.2900000000000003E-2</v>
      </c>
      <c r="I196" s="34">
        <f t="shared" si="5"/>
        <v>5.4079696394686794E-2</v>
      </c>
    </row>
    <row r="197" spans="2:9" x14ac:dyDescent="0.35">
      <c r="B197" s="42">
        <v>31503</v>
      </c>
      <c r="C197" s="5">
        <v>235.5</v>
      </c>
      <c r="D197" s="5">
        <v>238.9</v>
      </c>
      <c r="E197" s="5">
        <v>245.5</v>
      </c>
      <c r="F197" s="5">
        <v>226.3</v>
      </c>
      <c r="H197" s="22">
        <v>-1.4200000000000001E-2</v>
      </c>
      <c r="I197" s="34">
        <f t="shared" ref="I197:I260" si="6">F197/F196-1</f>
        <v>1.8451845184518589E-2</v>
      </c>
    </row>
    <row r="198" spans="2:9" x14ac:dyDescent="0.35">
      <c r="B198" s="42">
        <v>31533</v>
      </c>
      <c r="C198" s="5">
        <v>247.3</v>
      </c>
      <c r="D198" s="5">
        <v>235.5</v>
      </c>
      <c r="E198" s="5">
        <v>249.2</v>
      </c>
      <c r="F198" s="5">
        <v>232.3</v>
      </c>
      <c r="H198" s="22">
        <v>5.0099999999999999E-2</v>
      </c>
      <c r="I198" s="34">
        <f t="shared" si="6"/>
        <v>2.6513477684489528E-2</v>
      </c>
    </row>
    <row r="199" spans="2:9" x14ac:dyDescent="0.35">
      <c r="B199" s="42">
        <v>31564</v>
      </c>
      <c r="C199" s="5">
        <v>250.8</v>
      </c>
      <c r="D199" s="5">
        <v>247.3</v>
      </c>
      <c r="E199" s="5">
        <v>251.8</v>
      </c>
      <c r="F199" s="5">
        <v>238.2</v>
      </c>
      <c r="H199" s="22">
        <v>1.4200000000000001E-2</v>
      </c>
      <c r="I199" s="34">
        <f t="shared" si="6"/>
        <v>2.5398191993112329E-2</v>
      </c>
    </row>
    <row r="200" spans="2:9" x14ac:dyDescent="0.35">
      <c r="B200" s="42">
        <v>31594</v>
      </c>
      <c r="C200" s="5">
        <v>236.1</v>
      </c>
      <c r="D200" s="5">
        <v>250.8</v>
      </c>
      <c r="E200" s="5">
        <v>253.2</v>
      </c>
      <c r="F200" s="5">
        <v>233.1</v>
      </c>
      <c r="H200" s="22">
        <v>-5.8599999999999999E-2</v>
      </c>
      <c r="I200" s="34">
        <f t="shared" si="6"/>
        <v>-2.1410579345088165E-2</v>
      </c>
    </row>
    <row r="201" spans="2:9" x14ac:dyDescent="0.35">
      <c r="B201" s="42">
        <v>31625</v>
      </c>
      <c r="C201" s="5">
        <v>252.9</v>
      </c>
      <c r="D201" s="5">
        <v>236.1</v>
      </c>
      <c r="E201" s="5">
        <v>254.2</v>
      </c>
      <c r="F201" s="5">
        <v>231.9</v>
      </c>
      <c r="H201" s="22">
        <v>7.1199999999999999E-2</v>
      </c>
      <c r="I201" s="34">
        <f t="shared" si="6"/>
        <v>-5.1480051480050637E-3</v>
      </c>
    </row>
    <row r="202" spans="2:9" x14ac:dyDescent="0.35">
      <c r="B202" s="42">
        <v>31656</v>
      </c>
      <c r="C202" s="5">
        <v>231.3</v>
      </c>
      <c r="D202" s="5">
        <v>252.9</v>
      </c>
      <c r="E202" s="5">
        <v>254.1</v>
      </c>
      <c r="F202" s="5">
        <v>228.1</v>
      </c>
      <c r="H202" s="22">
        <v>-8.5400000000000004E-2</v>
      </c>
      <c r="I202" s="34">
        <f t="shared" si="6"/>
        <v>-1.6386373436826251E-2</v>
      </c>
    </row>
    <row r="203" spans="2:9" x14ac:dyDescent="0.35">
      <c r="B203" s="42">
        <v>31686</v>
      </c>
      <c r="C203" s="5">
        <v>244</v>
      </c>
      <c r="D203" s="5">
        <v>231.3</v>
      </c>
      <c r="E203" s="5">
        <v>244.5</v>
      </c>
      <c r="F203" s="5">
        <v>231.3</v>
      </c>
      <c r="H203" s="22">
        <v>5.4899999999999997E-2</v>
      </c>
      <c r="I203" s="34">
        <f t="shared" si="6"/>
        <v>1.4028934677772886E-2</v>
      </c>
    </row>
    <row r="204" spans="2:9" x14ac:dyDescent="0.35">
      <c r="B204" s="42">
        <v>31717</v>
      </c>
      <c r="C204" s="5">
        <v>249.2</v>
      </c>
      <c r="D204" s="5">
        <v>244</v>
      </c>
      <c r="E204" s="5">
        <v>249.2</v>
      </c>
      <c r="F204" s="5">
        <v>235.5</v>
      </c>
      <c r="H204" s="22">
        <v>2.1299999999999999E-2</v>
      </c>
      <c r="I204" s="34">
        <f t="shared" si="6"/>
        <v>1.8158236057068677E-2</v>
      </c>
    </row>
    <row r="205" spans="2:9" x14ac:dyDescent="0.35">
      <c r="B205" s="42">
        <v>31747</v>
      </c>
      <c r="C205" s="5">
        <v>242.2</v>
      </c>
      <c r="D205" s="5">
        <v>249.2</v>
      </c>
      <c r="E205" s="5">
        <v>254.9</v>
      </c>
      <c r="F205" s="5">
        <v>241.3</v>
      </c>
      <c r="H205" s="22">
        <v>-2.81E-2</v>
      </c>
      <c r="I205" s="34">
        <f t="shared" si="6"/>
        <v>2.4628450106157107E-2</v>
      </c>
    </row>
    <row r="206" spans="2:9" x14ac:dyDescent="0.35">
      <c r="B206" s="42">
        <v>31778</v>
      </c>
      <c r="C206" s="5">
        <v>274.10000000000002</v>
      </c>
      <c r="D206" s="5">
        <v>242.2</v>
      </c>
      <c r="E206" s="5">
        <v>281</v>
      </c>
      <c r="F206" s="5">
        <v>242.2</v>
      </c>
      <c r="H206" s="22">
        <v>0.13170000000000001</v>
      </c>
      <c r="I206" s="34">
        <f t="shared" si="6"/>
        <v>3.7297969332779068E-3</v>
      </c>
    </row>
    <row r="207" spans="2:9" x14ac:dyDescent="0.35">
      <c r="B207" s="42">
        <v>31809</v>
      </c>
      <c r="C207" s="5">
        <v>284.2</v>
      </c>
      <c r="D207" s="5">
        <v>274.10000000000002</v>
      </c>
      <c r="E207" s="5">
        <v>287.60000000000002</v>
      </c>
      <c r="F207" s="5">
        <v>273.2</v>
      </c>
      <c r="H207" s="22">
        <v>3.6799999999999999E-2</v>
      </c>
      <c r="I207" s="34">
        <f t="shared" si="6"/>
        <v>0.12799339388934761</v>
      </c>
    </row>
    <row r="208" spans="2:9" x14ac:dyDescent="0.35">
      <c r="B208" s="42">
        <v>31837</v>
      </c>
      <c r="C208" s="5">
        <v>291.7</v>
      </c>
      <c r="D208" s="5">
        <v>284.2</v>
      </c>
      <c r="E208" s="5">
        <v>302.7</v>
      </c>
      <c r="F208" s="5">
        <v>282.3</v>
      </c>
      <c r="H208" s="22">
        <v>2.64E-2</v>
      </c>
      <c r="I208" s="34">
        <f t="shared" si="6"/>
        <v>3.3308931185944468E-2</v>
      </c>
    </row>
    <row r="209" spans="2:9" x14ac:dyDescent="0.35">
      <c r="B209" s="42">
        <v>31868</v>
      </c>
      <c r="C209" s="5">
        <v>288.39999999999998</v>
      </c>
      <c r="D209" s="5">
        <v>291.7</v>
      </c>
      <c r="E209" s="5">
        <v>303.60000000000002</v>
      </c>
      <c r="F209" s="5">
        <v>275.7</v>
      </c>
      <c r="H209" s="22">
        <v>-1.1299999999999999E-2</v>
      </c>
      <c r="I209" s="34">
        <f t="shared" si="6"/>
        <v>-2.3379383634431483E-2</v>
      </c>
    </row>
    <row r="210" spans="2:9" x14ac:dyDescent="0.35">
      <c r="B210" s="42">
        <v>31898</v>
      </c>
      <c r="C210" s="5">
        <v>290.10000000000002</v>
      </c>
      <c r="D210" s="5">
        <v>288.39999999999998</v>
      </c>
      <c r="E210" s="5">
        <v>298.7</v>
      </c>
      <c r="F210" s="5">
        <v>277</v>
      </c>
      <c r="H210" s="22">
        <v>5.8999999999999999E-3</v>
      </c>
      <c r="I210" s="34">
        <f t="shared" si="6"/>
        <v>4.7152702212549524E-3</v>
      </c>
    </row>
    <row r="211" spans="2:9" x14ac:dyDescent="0.35">
      <c r="B211" s="42">
        <v>31929</v>
      </c>
      <c r="C211" s="5">
        <v>304</v>
      </c>
      <c r="D211" s="5">
        <v>290.10000000000002</v>
      </c>
      <c r="E211" s="5">
        <v>310.3</v>
      </c>
      <c r="F211" s="5">
        <v>286.89999999999998</v>
      </c>
      <c r="H211" s="22">
        <v>4.7899999999999998E-2</v>
      </c>
      <c r="I211" s="34">
        <f t="shared" si="6"/>
        <v>3.5740072202165907E-2</v>
      </c>
    </row>
    <row r="212" spans="2:9" x14ac:dyDescent="0.35">
      <c r="B212" s="42">
        <v>31959</v>
      </c>
      <c r="C212" s="5">
        <v>318.7</v>
      </c>
      <c r="D212" s="5">
        <v>304</v>
      </c>
      <c r="E212" s="5">
        <v>318.89999999999998</v>
      </c>
      <c r="F212" s="5">
        <v>302.5</v>
      </c>
      <c r="H212" s="22">
        <v>4.8399999999999999E-2</v>
      </c>
      <c r="I212" s="34">
        <f t="shared" si="6"/>
        <v>5.4374346462181977E-2</v>
      </c>
    </row>
    <row r="213" spans="2:9" x14ac:dyDescent="0.35">
      <c r="B213" s="42">
        <v>31990</v>
      </c>
      <c r="C213" s="5">
        <v>329.8</v>
      </c>
      <c r="D213" s="5">
        <v>318.7</v>
      </c>
      <c r="E213" s="5">
        <v>337.9</v>
      </c>
      <c r="F213" s="5">
        <v>314.5</v>
      </c>
      <c r="H213" s="22">
        <v>3.4799999999999998E-2</v>
      </c>
      <c r="I213" s="34">
        <f t="shared" si="6"/>
        <v>3.9669421487603218E-2</v>
      </c>
    </row>
    <row r="214" spans="2:9" x14ac:dyDescent="0.35">
      <c r="B214" s="42">
        <v>32021</v>
      </c>
      <c r="C214" s="5">
        <v>321.8</v>
      </c>
      <c r="D214" s="5">
        <v>329.8</v>
      </c>
      <c r="E214" s="5">
        <v>332.2</v>
      </c>
      <c r="F214" s="5">
        <v>308.60000000000002</v>
      </c>
      <c r="H214" s="22">
        <v>-2.4299999999999999E-2</v>
      </c>
      <c r="I214" s="34">
        <f t="shared" si="6"/>
        <v>-1.8759936406995137E-2</v>
      </c>
    </row>
    <row r="215" spans="2:9" x14ac:dyDescent="0.35">
      <c r="B215" s="42">
        <v>32051</v>
      </c>
      <c r="C215" s="5">
        <v>251.8</v>
      </c>
      <c r="D215" s="5">
        <v>321.8</v>
      </c>
      <c r="E215" s="5">
        <v>328.9</v>
      </c>
      <c r="F215" s="5">
        <v>216.5</v>
      </c>
      <c r="H215" s="22">
        <v>-0.2175</v>
      </c>
      <c r="I215" s="34">
        <f t="shared" si="6"/>
        <v>-0.29844458846403121</v>
      </c>
    </row>
    <row r="216" spans="2:9" x14ac:dyDescent="0.35">
      <c r="B216" s="42">
        <v>32082</v>
      </c>
      <c r="C216" s="5">
        <v>230.3</v>
      </c>
      <c r="D216" s="5">
        <v>251.8</v>
      </c>
      <c r="E216" s="5">
        <v>257.2</v>
      </c>
      <c r="F216" s="5">
        <v>225.8</v>
      </c>
      <c r="H216" s="22">
        <v>-8.5400000000000004E-2</v>
      </c>
      <c r="I216" s="34">
        <f t="shared" si="6"/>
        <v>4.2956120092378702E-2</v>
      </c>
    </row>
    <row r="217" spans="2:9" x14ac:dyDescent="0.35">
      <c r="B217" s="42">
        <v>32112</v>
      </c>
      <c r="C217" s="5">
        <v>247.1</v>
      </c>
      <c r="D217" s="5">
        <v>230.3</v>
      </c>
      <c r="E217" s="5">
        <v>253.3</v>
      </c>
      <c r="F217" s="5">
        <v>221.2</v>
      </c>
      <c r="H217" s="22">
        <v>7.2900000000000006E-2</v>
      </c>
      <c r="I217" s="34">
        <f t="shared" si="6"/>
        <v>-2.037201062887517E-2</v>
      </c>
    </row>
    <row r="218" spans="2:9" x14ac:dyDescent="0.35">
      <c r="B218" s="42">
        <v>32143</v>
      </c>
      <c r="C218" s="5">
        <v>257.10000000000002</v>
      </c>
      <c r="D218" s="5">
        <v>247.1</v>
      </c>
      <c r="E218" s="5">
        <v>261.8</v>
      </c>
      <c r="F218" s="5">
        <v>240.2</v>
      </c>
      <c r="H218" s="22">
        <v>4.0500000000000001E-2</v>
      </c>
      <c r="I218" s="34">
        <f t="shared" si="6"/>
        <v>8.5895117540687238E-2</v>
      </c>
    </row>
    <row r="219" spans="2:9" x14ac:dyDescent="0.35">
      <c r="B219" s="42">
        <v>32174</v>
      </c>
      <c r="C219" s="5">
        <v>267.8</v>
      </c>
      <c r="D219" s="5">
        <v>257.10000000000002</v>
      </c>
      <c r="E219" s="5">
        <v>267.8</v>
      </c>
      <c r="F219" s="5">
        <v>247.8</v>
      </c>
      <c r="H219" s="22">
        <v>4.1599999999999998E-2</v>
      </c>
      <c r="I219" s="34">
        <f t="shared" si="6"/>
        <v>3.1640299750208323E-2</v>
      </c>
    </row>
    <row r="220" spans="2:9" x14ac:dyDescent="0.35">
      <c r="B220" s="42">
        <v>32203</v>
      </c>
      <c r="C220" s="5">
        <v>258.89999999999998</v>
      </c>
      <c r="D220" s="5">
        <v>267.8</v>
      </c>
      <c r="E220" s="5">
        <v>272.60000000000002</v>
      </c>
      <c r="F220" s="5">
        <v>256.10000000000002</v>
      </c>
      <c r="H220" s="22">
        <v>-3.32E-2</v>
      </c>
      <c r="I220" s="34">
        <f t="shared" si="6"/>
        <v>3.3494753833736901E-2</v>
      </c>
    </row>
    <row r="221" spans="2:9" x14ac:dyDescent="0.35">
      <c r="B221" s="42">
        <v>32234</v>
      </c>
      <c r="C221" s="5">
        <v>261.3</v>
      </c>
      <c r="D221" s="5">
        <v>258.89999999999998</v>
      </c>
      <c r="E221" s="5">
        <v>272.10000000000002</v>
      </c>
      <c r="F221" s="5">
        <v>254.7</v>
      </c>
      <c r="H221" s="22">
        <v>9.2999999999999992E-3</v>
      </c>
      <c r="I221" s="34">
        <f t="shared" si="6"/>
        <v>-5.4666146036705943E-3</v>
      </c>
    </row>
    <row r="222" spans="2:9" x14ac:dyDescent="0.35">
      <c r="B222" s="42">
        <v>32264</v>
      </c>
      <c r="C222" s="5">
        <v>262.2</v>
      </c>
      <c r="D222" s="5">
        <v>261.3</v>
      </c>
      <c r="E222" s="5">
        <v>263.7</v>
      </c>
      <c r="F222" s="5">
        <v>248.8</v>
      </c>
      <c r="H222" s="22">
        <v>3.3999999999999998E-3</v>
      </c>
      <c r="I222" s="34">
        <f t="shared" si="6"/>
        <v>-2.3164507263447098E-2</v>
      </c>
    </row>
    <row r="223" spans="2:9" x14ac:dyDescent="0.35">
      <c r="B223" s="42">
        <v>32295</v>
      </c>
      <c r="C223" s="5">
        <v>273.5</v>
      </c>
      <c r="D223" s="5">
        <v>262.2</v>
      </c>
      <c r="E223" s="5">
        <v>276.89999999999998</v>
      </c>
      <c r="F223" s="5">
        <v>262.10000000000002</v>
      </c>
      <c r="H223" s="22">
        <v>4.3099999999999999E-2</v>
      </c>
      <c r="I223" s="34">
        <f t="shared" si="6"/>
        <v>5.3456591639871487E-2</v>
      </c>
    </row>
    <row r="224" spans="2:9" x14ac:dyDescent="0.35">
      <c r="B224" s="42">
        <v>32325</v>
      </c>
      <c r="C224" s="5">
        <v>272</v>
      </c>
      <c r="D224" s="5">
        <v>273.5</v>
      </c>
      <c r="E224" s="5">
        <v>276.39999999999998</v>
      </c>
      <c r="F224" s="5">
        <v>262.5</v>
      </c>
      <c r="H224" s="22">
        <v>-5.4999999999999997E-3</v>
      </c>
      <c r="I224" s="34">
        <f t="shared" si="6"/>
        <v>1.5261350629529602E-3</v>
      </c>
    </row>
    <row r="225" spans="2:9" x14ac:dyDescent="0.35">
      <c r="B225" s="42">
        <v>32356</v>
      </c>
      <c r="C225" s="5">
        <v>261.5</v>
      </c>
      <c r="D225" s="5">
        <v>272</v>
      </c>
      <c r="E225" s="5">
        <v>274.2</v>
      </c>
      <c r="F225" s="5">
        <v>256.5</v>
      </c>
      <c r="H225" s="22">
        <v>-3.8600000000000002E-2</v>
      </c>
      <c r="I225" s="34">
        <f t="shared" si="6"/>
        <v>-2.2857142857142909E-2</v>
      </c>
    </row>
    <row r="226" spans="2:9" x14ac:dyDescent="0.35">
      <c r="B226" s="42">
        <v>32387</v>
      </c>
      <c r="C226" s="5">
        <v>271.89999999999998</v>
      </c>
      <c r="D226" s="5">
        <v>261.5</v>
      </c>
      <c r="E226" s="5">
        <v>274.89999999999998</v>
      </c>
      <c r="F226" s="5">
        <v>257</v>
      </c>
      <c r="H226" s="22">
        <v>3.9800000000000002E-2</v>
      </c>
      <c r="I226" s="34">
        <f t="shared" si="6"/>
        <v>1.9493177387914784E-3</v>
      </c>
    </row>
    <row r="227" spans="2:9" x14ac:dyDescent="0.35">
      <c r="B227" s="42">
        <v>32417</v>
      </c>
      <c r="C227" s="5">
        <v>279</v>
      </c>
      <c r="D227" s="5">
        <v>271.89999999999998</v>
      </c>
      <c r="E227" s="5">
        <v>283.89999999999998</v>
      </c>
      <c r="F227" s="5">
        <v>268.8</v>
      </c>
      <c r="H227" s="22">
        <v>2.6100000000000002E-2</v>
      </c>
      <c r="I227" s="34">
        <f t="shared" si="6"/>
        <v>4.5914396887159592E-2</v>
      </c>
    </row>
    <row r="228" spans="2:9" x14ac:dyDescent="0.35">
      <c r="B228" s="42">
        <v>32448</v>
      </c>
      <c r="C228" s="5">
        <v>273.7</v>
      </c>
      <c r="D228" s="5">
        <v>279</v>
      </c>
      <c r="E228" s="5">
        <v>280.39999999999998</v>
      </c>
      <c r="F228" s="5">
        <v>262.89999999999998</v>
      </c>
      <c r="H228" s="22">
        <v>-1.9E-2</v>
      </c>
      <c r="I228" s="34">
        <f t="shared" si="6"/>
        <v>-2.1949404761904878E-2</v>
      </c>
    </row>
    <row r="229" spans="2:9" x14ac:dyDescent="0.35">
      <c r="B229" s="42">
        <v>32478</v>
      </c>
      <c r="C229" s="5">
        <v>277.7</v>
      </c>
      <c r="D229" s="5">
        <v>273.7</v>
      </c>
      <c r="E229" s="5">
        <v>280.39999999999998</v>
      </c>
      <c r="F229" s="5">
        <v>270.5</v>
      </c>
      <c r="H229" s="22">
        <v>1.46E-2</v>
      </c>
      <c r="I229" s="34">
        <f t="shared" si="6"/>
        <v>2.8908330163560425E-2</v>
      </c>
    </row>
    <row r="230" spans="2:9" x14ac:dyDescent="0.35">
      <c r="B230" s="42">
        <v>32509</v>
      </c>
      <c r="C230" s="5">
        <v>297.5</v>
      </c>
      <c r="D230" s="5">
        <v>277.7</v>
      </c>
      <c r="E230" s="5">
        <v>297.5</v>
      </c>
      <c r="F230" s="5">
        <v>273.8</v>
      </c>
      <c r="H230" s="22">
        <v>7.1300000000000002E-2</v>
      </c>
      <c r="I230" s="34">
        <f t="shared" si="6"/>
        <v>1.2199630314232879E-2</v>
      </c>
    </row>
    <row r="231" spans="2:9" x14ac:dyDescent="0.35">
      <c r="B231" s="42">
        <v>32540</v>
      </c>
      <c r="C231" s="5">
        <v>288.89999999999998</v>
      </c>
      <c r="D231" s="5">
        <v>297.5</v>
      </c>
      <c r="E231" s="5">
        <v>300.60000000000002</v>
      </c>
      <c r="F231" s="5">
        <v>286.3</v>
      </c>
      <c r="H231" s="22">
        <v>-2.8899999999999999E-2</v>
      </c>
      <c r="I231" s="34">
        <f t="shared" si="6"/>
        <v>4.565376186997816E-2</v>
      </c>
    </row>
    <row r="232" spans="2:9" x14ac:dyDescent="0.35">
      <c r="B232" s="42">
        <v>32568</v>
      </c>
      <c r="C232" s="5">
        <v>294.89999999999998</v>
      </c>
      <c r="D232" s="5">
        <v>288.89999999999998</v>
      </c>
      <c r="E232" s="5">
        <v>300</v>
      </c>
      <c r="F232" s="5">
        <v>286.5</v>
      </c>
      <c r="H232" s="22">
        <v>2.0799999999999999E-2</v>
      </c>
      <c r="I232" s="34">
        <f t="shared" si="6"/>
        <v>6.9856793573164211E-4</v>
      </c>
    </row>
    <row r="233" spans="2:9" x14ac:dyDescent="0.35">
      <c r="B233" s="42">
        <v>32599</v>
      </c>
      <c r="C233" s="5">
        <v>309.60000000000002</v>
      </c>
      <c r="D233" s="5">
        <v>294.89999999999998</v>
      </c>
      <c r="E233" s="5">
        <v>310.39999999999998</v>
      </c>
      <c r="F233" s="5">
        <v>294.39999999999998</v>
      </c>
      <c r="H233" s="22">
        <v>4.9799999999999997E-2</v>
      </c>
      <c r="I233" s="34">
        <f t="shared" si="6"/>
        <v>2.7574171029668415E-2</v>
      </c>
    </row>
    <row r="234" spans="2:9" x14ac:dyDescent="0.35">
      <c r="B234" s="42">
        <v>32629</v>
      </c>
      <c r="C234" s="5">
        <v>320.5</v>
      </c>
      <c r="D234" s="5">
        <v>309.60000000000002</v>
      </c>
      <c r="E234" s="5">
        <v>323.10000000000002</v>
      </c>
      <c r="F234" s="5">
        <v>304.10000000000002</v>
      </c>
      <c r="H234" s="22">
        <v>3.5200000000000002E-2</v>
      </c>
      <c r="I234" s="34">
        <f t="shared" si="6"/>
        <v>3.2948369565217517E-2</v>
      </c>
    </row>
    <row r="235" spans="2:9" x14ac:dyDescent="0.35">
      <c r="B235" s="42">
        <v>32660</v>
      </c>
      <c r="C235" s="5">
        <v>318</v>
      </c>
      <c r="D235" s="5">
        <v>320.5</v>
      </c>
      <c r="E235" s="5">
        <v>329.2</v>
      </c>
      <c r="F235" s="5">
        <v>314.39999999999998</v>
      </c>
      <c r="H235" s="22">
        <v>-7.7999999999999996E-3</v>
      </c>
      <c r="I235" s="34">
        <f t="shared" si="6"/>
        <v>3.387043735613271E-2</v>
      </c>
    </row>
    <row r="236" spans="2:9" x14ac:dyDescent="0.35">
      <c r="B236" s="42">
        <v>32690</v>
      </c>
      <c r="C236" s="5">
        <v>346.1</v>
      </c>
      <c r="D236" s="5">
        <v>318</v>
      </c>
      <c r="E236" s="5">
        <v>346.1</v>
      </c>
      <c r="F236" s="5">
        <v>317.3</v>
      </c>
      <c r="H236" s="22">
        <v>8.8400000000000006E-2</v>
      </c>
      <c r="I236" s="34">
        <f t="shared" si="6"/>
        <v>9.223918575063772E-3</v>
      </c>
    </row>
    <row r="237" spans="2:9" x14ac:dyDescent="0.35">
      <c r="B237" s="42">
        <v>32721</v>
      </c>
      <c r="C237" s="5">
        <v>351.4</v>
      </c>
      <c r="D237" s="5">
        <v>346.1</v>
      </c>
      <c r="E237" s="5">
        <v>352.7</v>
      </c>
      <c r="F237" s="5">
        <v>339</v>
      </c>
      <c r="H237" s="22">
        <v>1.5299999999999999E-2</v>
      </c>
      <c r="I237" s="34">
        <f t="shared" si="6"/>
        <v>6.8389536716041643E-2</v>
      </c>
    </row>
    <row r="238" spans="2:9" x14ac:dyDescent="0.35">
      <c r="B238" s="42">
        <v>32752</v>
      </c>
      <c r="C238" s="5">
        <v>349.1</v>
      </c>
      <c r="D238" s="5">
        <v>351.4</v>
      </c>
      <c r="E238" s="5">
        <v>354.1</v>
      </c>
      <c r="F238" s="5">
        <v>341.4</v>
      </c>
      <c r="H238" s="22">
        <v>-6.4999999999999997E-3</v>
      </c>
      <c r="I238" s="34">
        <f t="shared" si="6"/>
        <v>7.0796460176989484E-3</v>
      </c>
    </row>
    <row r="239" spans="2:9" x14ac:dyDescent="0.35">
      <c r="B239" s="42">
        <v>32782</v>
      </c>
      <c r="C239" s="5">
        <v>340.4</v>
      </c>
      <c r="D239" s="5">
        <v>349.1</v>
      </c>
      <c r="E239" s="5">
        <v>360.4</v>
      </c>
      <c r="F239" s="5">
        <v>327.10000000000002</v>
      </c>
      <c r="H239" s="22">
        <v>-2.4899999999999999E-2</v>
      </c>
      <c r="I239" s="34">
        <f t="shared" si="6"/>
        <v>-4.1886350322202559E-2</v>
      </c>
    </row>
    <row r="240" spans="2:9" x14ac:dyDescent="0.35">
      <c r="B240" s="42">
        <v>32813</v>
      </c>
      <c r="C240" s="5">
        <v>346</v>
      </c>
      <c r="D240" s="5">
        <v>340.4</v>
      </c>
      <c r="E240" s="5">
        <v>346.5</v>
      </c>
      <c r="F240" s="5">
        <v>330.9</v>
      </c>
      <c r="H240" s="22">
        <v>1.6500000000000001E-2</v>
      </c>
      <c r="I240" s="34">
        <f t="shared" si="6"/>
        <v>1.161724243350637E-2</v>
      </c>
    </row>
    <row r="241" spans="2:9" x14ac:dyDescent="0.35">
      <c r="B241" s="42">
        <v>32843</v>
      </c>
      <c r="C241" s="5">
        <v>353.4</v>
      </c>
      <c r="D241" s="5">
        <v>346</v>
      </c>
      <c r="E241" s="5">
        <v>354.1</v>
      </c>
      <c r="F241" s="5">
        <v>339.6</v>
      </c>
      <c r="H241" s="22">
        <v>2.1399999999999999E-2</v>
      </c>
      <c r="I241" s="34">
        <f t="shared" si="6"/>
        <v>2.6291931097008225E-2</v>
      </c>
    </row>
    <row r="242" spans="2:9" x14ac:dyDescent="0.35">
      <c r="B242" s="42">
        <v>32874</v>
      </c>
      <c r="C242" s="5">
        <v>329.1</v>
      </c>
      <c r="D242" s="5">
        <v>353.4</v>
      </c>
      <c r="E242" s="5">
        <v>360.6</v>
      </c>
      <c r="F242" s="5">
        <v>319.8</v>
      </c>
      <c r="H242" s="22">
        <v>-6.88E-2</v>
      </c>
      <c r="I242" s="34">
        <f t="shared" si="6"/>
        <v>-5.8303886925795134E-2</v>
      </c>
    </row>
    <row r="243" spans="2:9" x14ac:dyDescent="0.35">
      <c r="B243" s="42">
        <v>32905</v>
      </c>
      <c r="C243" s="5">
        <v>331.9</v>
      </c>
      <c r="D243" s="5">
        <v>329.1</v>
      </c>
      <c r="E243" s="5">
        <v>336.1</v>
      </c>
      <c r="F243" s="5">
        <v>322.10000000000002</v>
      </c>
      <c r="H243" s="22">
        <v>8.5000000000000006E-3</v>
      </c>
      <c r="I243" s="34">
        <f t="shared" si="6"/>
        <v>7.1919949968730634E-3</v>
      </c>
    </row>
    <row r="244" spans="2:9" x14ac:dyDescent="0.35">
      <c r="B244" s="42">
        <v>32933</v>
      </c>
      <c r="C244" s="5">
        <v>339.9</v>
      </c>
      <c r="D244" s="5">
        <v>331.9</v>
      </c>
      <c r="E244" s="5">
        <v>344.5</v>
      </c>
      <c r="F244" s="5">
        <v>331.1</v>
      </c>
      <c r="H244" s="22">
        <v>2.41E-2</v>
      </c>
      <c r="I244" s="34">
        <f t="shared" si="6"/>
        <v>2.7941633033219393E-2</v>
      </c>
    </row>
    <row r="245" spans="2:9" x14ac:dyDescent="0.35">
      <c r="B245" s="42">
        <v>32964</v>
      </c>
      <c r="C245" s="5">
        <v>330.8</v>
      </c>
      <c r="D245" s="5">
        <v>339.9</v>
      </c>
      <c r="E245" s="5">
        <v>347.3</v>
      </c>
      <c r="F245" s="5">
        <v>327.8</v>
      </c>
      <c r="H245" s="22">
        <v>-2.6800000000000001E-2</v>
      </c>
      <c r="I245" s="34">
        <f t="shared" si="6"/>
        <v>-9.966777408637939E-3</v>
      </c>
    </row>
    <row r="246" spans="2:9" x14ac:dyDescent="0.35">
      <c r="B246" s="42">
        <v>32994</v>
      </c>
      <c r="C246" s="5">
        <v>361.2</v>
      </c>
      <c r="D246" s="5">
        <v>330.8</v>
      </c>
      <c r="E246" s="5">
        <v>362.3</v>
      </c>
      <c r="F246" s="5">
        <v>330.8</v>
      </c>
      <c r="H246" s="22">
        <v>9.1899999999999996E-2</v>
      </c>
      <c r="I246" s="34">
        <f t="shared" si="6"/>
        <v>9.1519219035998134E-3</v>
      </c>
    </row>
    <row r="247" spans="2:9" x14ac:dyDescent="0.35">
      <c r="B247" s="42">
        <v>33025</v>
      </c>
      <c r="C247" s="5">
        <v>358</v>
      </c>
      <c r="D247" s="5">
        <v>361.2</v>
      </c>
      <c r="E247" s="5">
        <v>368.8</v>
      </c>
      <c r="F247" s="5">
        <v>351.2</v>
      </c>
      <c r="H247" s="22">
        <v>-8.8999999999999999E-3</v>
      </c>
      <c r="I247" s="34">
        <f t="shared" si="6"/>
        <v>6.1668681983071183E-2</v>
      </c>
    </row>
    <row r="248" spans="2:9" x14ac:dyDescent="0.35">
      <c r="B248" s="42">
        <v>33055</v>
      </c>
      <c r="C248" s="5">
        <v>356.1</v>
      </c>
      <c r="D248" s="5">
        <v>358</v>
      </c>
      <c r="E248" s="5">
        <v>369.8</v>
      </c>
      <c r="F248" s="5">
        <v>350.1</v>
      </c>
      <c r="H248" s="22">
        <v>-5.3E-3</v>
      </c>
      <c r="I248" s="34">
        <f t="shared" si="6"/>
        <v>-3.1321184510250122E-3</v>
      </c>
    </row>
    <row r="249" spans="2:9" x14ac:dyDescent="0.35">
      <c r="B249" s="42">
        <v>33086</v>
      </c>
      <c r="C249" s="5">
        <v>322.60000000000002</v>
      </c>
      <c r="D249" s="5">
        <v>356.1</v>
      </c>
      <c r="E249" s="5">
        <v>357.4</v>
      </c>
      <c r="F249" s="5">
        <v>306.2</v>
      </c>
      <c r="H249" s="22">
        <v>-9.4100000000000003E-2</v>
      </c>
      <c r="I249" s="34">
        <f t="shared" si="6"/>
        <v>-0.12539274493002006</v>
      </c>
    </row>
    <row r="250" spans="2:9" x14ac:dyDescent="0.35">
      <c r="B250" s="42">
        <v>33117</v>
      </c>
      <c r="C250" s="5">
        <v>306.10000000000002</v>
      </c>
      <c r="D250" s="5">
        <v>322.60000000000002</v>
      </c>
      <c r="E250" s="5">
        <v>326.5</v>
      </c>
      <c r="F250" s="5">
        <v>296</v>
      </c>
      <c r="H250" s="22">
        <v>-5.11E-2</v>
      </c>
      <c r="I250" s="34">
        <f t="shared" si="6"/>
        <v>-3.3311561071195261E-2</v>
      </c>
    </row>
    <row r="251" spans="2:9" x14ac:dyDescent="0.35">
      <c r="B251" s="42">
        <v>33147</v>
      </c>
      <c r="C251" s="5">
        <v>304</v>
      </c>
      <c r="D251" s="5">
        <v>306.10000000000002</v>
      </c>
      <c r="E251" s="5">
        <v>319.7</v>
      </c>
      <c r="F251" s="5">
        <v>294.5</v>
      </c>
      <c r="H251" s="22">
        <v>-6.8999999999999999E-3</v>
      </c>
      <c r="I251" s="34">
        <f t="shared" si="6"/>
        <v>-5.0675675675675436E-3</v>
      </c>
    </row>
    <row r="252" spans="2:9" x14ac:dyDescent="0.35">
      <c r="B252" s="42">
        <v>33178</v>
      </c>
      <c r="C252" s="5">
        <v>322.2</v>
      </c>
      <c r="D252" s="5">
        <v>304</v>
      </c>
      <c r="E252" s="5">
        <v>323</v>
      </c>
      <c r="F252" s="5">
        <v>301.60000000000002</v>
      </c>
      <c r="H252" s="22">
        <v>5.9900000000000002E-2</v>
      </c>
      <c r="I252" s="34">
        <f t="shared" si="6"/>
        <v>2.4108658743633438E-2</v>
      </c>
    </row>
    <row r="253" spans="2:9" x14ac:dyDescent="0.35">
      <c r="B253" s="42">
        <v>33208</v>
      </c>
      <c r="C253" s="5">
        <v>330.2</v>
      </c>
      <c r="D253" s="5">
        <v>322.2</v>
      </c>
      <c r="E253" s="5">
        <v>334</v>
      </c>
      <c r="F253" s="5">
        <v>322</v>
      </c>
      <c r="H253" s="22">
        <v>2.4799999999999999E-2</v>
      </c>
      <c r="I253" s="34">
        <f t="shared" si="6"/>
        <v>6.7639257294429544E-2</v>
      </c>
    </row>
    <row r="254" spans="2:9" x14ac:dyDescent="0.35">
      <c r="B254" s="42">
        <v>33239</v>
      </c>
      <c r="C254" s="5">
        <v>343.9</v>
      </c>
      <c r="D254" s="5">
        <v>330.2</v>
      </c>
      <c r="E254" s="5">
        <v>343.9</v>
      </c>
      <c r="F254" s="5">
        <v>309.39999999999998</v>
      </c>
      <c r="H254" s="22">
        <v>4.1500000000000002E-2</v>
      </c>
      <c r="I254" s="34">
        <f t="shared" si="6"/>
        <v>-3.9130434782608803E-2</v>
      </c>
    </row>
    <row r="255" spans="2:9" x14ac:dyDescent="0.35">
      <c r="B255" s="42">
        <v>33270</v>
      </c>
      <c r="C255" s="5">
        <v>367.1</v>
      </c>
      <c r="D255" s="5">
        <v>343.9</v>
      </c>
      <c r="E255" s="5">
        <v>371</v>
      </c>
      <c r="F255" s="5">
        <v>340.4</v>
      </c>
      <c r="H255" s="22">
        <v>6.7500000000000004E-2</v>
      </c>
      <c r="I255" s="34">
        <f t="shared" si="6"/>
        <v>0.10019392372333558</v>
      </c>
    </row>
    <row r="256" spans="2:9" x14ac:dyDescent="0.35">
      <c r="B256" s="42">
        <v>33298</v>
      </c>
      <c r="C256" s="5">
        <v>375.2</v>
      </c>
      <c r="D256" s="5">
        <v>367.1</v>
      </c>
      <c r="E256" s="5">
        <v>379.7</v>
      </c>
      <c r="F256" s="5">
        <v>363.7</v>
      </c>
      <c r="H256" s="22">
        <v>2.2100000000000002E-2</v>
      </c>
      <c r="I256" s="34">
        <f t="shared" si="6"/>
        <v>6.8448883666275107E-2</v>
      </c>
    </row>
    <row r="257" spans="2:9" x14ac:dyDescent="0.35">
      <c r="B257" s="42">
        <v>33329</v>
      </c>
      <c r="C257" s="5">
        <v>375.4</v>
      </c>
      <c r="D257" s="5">
        <v>375.2</v>
      </c>
      <c r="E257" s="5">
        <v>391.3</v>
      </c>
      <c r="F257" s="5">
        <v>370.3</v>
      </c>
      <c r="H257" s="22">
        <v>5.0000000000000001E-4</v>
      </c>
      <c r="I257" s="34">
        <f t="shared" si="6"/>
        <v>1.8146824305746545E-2</v>
      </c>
    </row>
    <row r="258" spans="2:9" x14ac:dyDescent="0.35">
      <c r="B258" s="42">
        <v>33359</v>
      </c>
      <c r="C258" s="5">
        <v>389.8</v>
      </c>
      <c r="D258" s="5">
        <v>375.4</v>
      </c>
      <c r="E258" s="5">
        <v>389.9</v>
      </c>
      <c r="F258" s="5">
        <v>365.8</v>
      </c>
      <c r="H258" s="22">
        <v>3.8399999999999997E-2</v>
      </c>
      <c r="I258" s="34">
        <f t="shared" si="6"/>
        <v>-1.2152308938698342E-2</v>
      </c>
    </row>
    <row r="259" spans="2:9" x14ac:dyDescent="0.35">
      <c r="B259" s="42">
        <v>33390</v>
      </c>
      <c r="C259" s="5">
        <v>371.2</v>
      </c>
      <c r="D259" s="5">
        <v>389.8</v>
      </c>
      <c r="E259" s="5">
        <v>389.8</v>
      </c>
      <c r="F259" s="5">
        <v>368</v>
      </c>
      <c r="H259" s="22">
        <v>-4.7699999999999999E-2</v>
      </c>
      <c r="I259" s="34">
        <f t="shared" si="6"/>
        <v>6.0142154182614149E-3</v>
      </c>
    </row>
    <row r="260" spans="2:9" x14ac:dyDescent="0.35">
      <c r="B260" s="42">
        <v>33420</v>
      </c>
      <c r="C260" s="5">
        <v>387.8</v>
      </c>
      <c r="D260" s="5">
        <v>371.2</v>
      </c>
      <c r="E260" s="5">
        <v>387.8</v>
      </c>
      <c r="F260" s="5">
        <v>370.9</v>
      </c>
      <c r="H260" s="22">
        <v>4.4699999999999997E-2</v>
      </c>
      <c r="I260" s="34">
        <f t="shared" si="6"/>
        <v>7.8804347826086918E-3</v>
      </c>
    </row>
    <row r="261" spans="2:9" x14ac:dyDescent="0.35">
      <c r="B261" s="42">
        <v>33451</v>
      </c>
      <c r="C261" s="5">
        <v>395.4</v>
      </c>
      <c r="D261" s="5">
        <v>387.8</v>
      </c>
      <c r="E261" s="5">
        <v>396.8</v>
      </c>
      <c r="F261" s="5">
        <v>374.1</v>
      </c>
      <c r="H261" s="22">
        <v>1.9599999999999999E-2</v>
      </c>
      <c r="I261" s="34">
        <f t="shared" ref="I261:I324" si="7">F261/F260-1</f>
        <v>8.6276624427070736E-3</v>
      </c>
    </row>
    <row r="262" spans="2:9" x14ac:dyDescent="0.35">
      <c r="B262" s="42">
        <v>33482</v>
      </c>
      <c r="C262" s="5">
        <v>387.9</v>
      </c>
      <c r="D262" s="5">
        <v>395.4</v>
      </c>
      <c r="E262" s="5">
        <v>397.6</v>
      </c>
      <c r="F262" s="5">
        <v>382.8</v>
      </c>
      <c r="H262" s="22">
        <v>-1.9E-2</v>
      </c>
      <c r="I262" s="34">
        <f t="shared" si="7"/>
        <v>2.3255813953488413E-2</v>
      </c>
    </row>
    <row r="263" spans="2:9" x14ac:dyDescent="0.35">
      <c r="B263" s="42">
        <v>33512</v>
      </c>
      <c r="C263" s="5">
        <v>392.5</v>
      </c>
      <c r="D263" s="5">
        <v>387.9</v>
      </c>
      <c r="E263" s="5">
        <v>393.8</v>
      </c>
      <c r="F263" s="5">
        <v>376.1</v>
      </c>
      <c r="H263" s="22">
        <v>1.1900000000000001E-2</v>
      </c>
      <c r="I263" s="34">
        <f t="shared" si="7"/>
        <v>-1.7502612330198453E-2</v>
      </c>
    </row>
    <row r="264" spans="2:9" x14ac:dyDescent="0.35">
      <c r="B264" s="42">
        <v>33543</v>
      </c>
      <c r="C264" s="5">
        <v>375.2</v>
      </c>
      <c r="D264" s="5">
        <v>392.5</v>
      </c>
      <c r="E264" s="5">
        <v>398.2</v>
      </c>
      <c r="F264" s="5">
        <v>371.6</v>
      </c>
      <c r="H264" s="22">
        <v>-4.41E-2</v>
      </c>
      <c r="I264" s="34">
        <f t="shared" si="7"/>
        <v>-1.1964902951342782E-2</v>
      </c>
    </row>
    <row r="265" spans="2:9" x14ac:dyDescent="0.35">
      <c r="B265" s="42">
        <v>33573</v>
      </c>
      <c r="C265" s="5">
        <v>417.1</v>
      </c>
      <c r="D265" s="5">
        <v>375.1</v>
      </c>
      <c r="E265" s="5">
        <v>418.3</v>
      </c>
      <c r="F265" s="5">
        <v>371.4</v>
      </c>
      <c r="H265" s="22">
        <v>0.11169999999999999</v>
      </c>
      <c r="I265" s="34">
        <f t="shared" si="7"/>
        <v>-5.3821313240054458E-4</v>
      </c>
    </row>
    <row r="266" spans="2:9" x14ac:dyDescent="0.35">
      <c r="B266" s="42">
        <v>33604</v>
      </c>
      <c r="C266" s="5">
        <v>408.8</v>
      </c>
      <c r="D266" s="5">
        <v>417</v>
      </c>
      <c r="E266" s="5">
        <v>421.2</v>
      </c>
      <c r="F266" s="5">
        <v>408.6</v>
      </c>
      <c r="H266" s="22">
        <v>-1.9900000000000001E-2</v>
      </c>
      <c r="I266" s="34">
        <f t="shared" si="7"/>
        <v>0.10016155088853007</v>
      </c>
    </row>
    <row r="267" spans="2:9" x14ac:dyDescent="0.35">
      <c r="B267" s="42">
        <v>33635</v>
      </c>
      <c r="C267" s="5">
        <v>412.7</v>
      </c>
      <c r="D267" s="5">
        <v>408.8</v>
      </c>
      <c r="E267" s="5">
        <v>418.1</v>
      </c>
      <c r="F267" s="5">
        <v>406.3</v>
      </c>
      <c r="H267" s="22">
        <v>9.4999999999999998E-3</v>
      </c>
      <c r="I267" s="34">
        <f t="shared" si="7"/>
        <v>-5.6289769946158419E-3</v>
      </c>
    </row>
    <row r="268" spans="2:9" x14ac:dyDescent="0.35">
      <c r="B268" s="42">
        <v>33664</v>
      </c>
      <c r="C268" s="5">
        <v>403.7</v>
      </c>
      <c r="D268" s="5">
        <v>412.7</v>
      </c>
      <c r="E268" s="5">
        <v>413.8</v>
      </c>
      <c r="F268" s="5">
        <v>401.9</v>
      </c>
      <c r="H268" s="22">
        <v>-2.18E-2</v>
      </c>
      <c r="I268" s="34">
        <f t="shared" si="7"/>
        <v>-1.0829436377061352E-2</v>
      </c>
    </row>
    <row r="269" spans="2:9" x14ac:dyDescent="0.35">
      <c r="B269" s="42">
        <v>33695</v>
      </c>
      <c r="C269" s="5">
        <v>414.9</v>
      </c>
      <c r="D269" s="5">
        <v>403.7</v>
      </c>
      <c r="E269" s="5">
        <v>416.3</v>
      </c>
      <c r="F269" s="5">
        <v>392.4</v>
      </c>
      <c r="H269" s="22">
        <v>2.7699999999999999E-2</v>
      </c>
      <c r="I269" s="34">
        <f t="shared" si="7"/>
        <v>-2.3637720826076181E-2</v>
      </c>
    </row>
    <row r="270" spans="2:9" x14ac:dyDescent="0.35">
      <c r="B270" s="42">
        <v>33725</v>
      </c>
      <c r="C270" s="5">
        <v>415.4</v>
      </c>
      <c r="D270" s="5">
        <v>414.9</v>
      </c>
      <c r="E270" s="5">
        <v>418.8</v>
      </c>
      <c r="F270" s="5">
        <v>409.9</v>
      </c>
      <c r="H270" s="22">
        <v>1.1999999999999999E-3</v>
      </c>
      <c r="I270" s="34">
        <f t="shared" si="7"/>
        <v>4.4597349643221262E-2</v>
      </c>
    </row>
    <row r="271" spans="2:9" x14ac:dyDescent="0.35">
      <c r="B271" s="42">
        <v>33756</v>
      </c>
      <c r="C271" s="5">
        <v>408.1</v>
      </c>
      <c r="D271" s="5">
        <v>415.4</v>
      </c>
      <c r="E271" s="5">
        <v>417.3</v>
      </c>
      <c r="F271" s="5">
        <v>399.9</v>
      </c>
      <c r="H271" s="22">
        <v>-1.7600000000000001E-2</v>
      </c>
      <c r="I271" s="34">
        <f t="shared" si="7"/>
        <v>-2.4396194193705756E-2</v>
      </c>
    </row>
    <row r="272" spans="2:9" x14ac:dyDescent="0.35">
      <c r="B272" s="42">
        <v>33786</v>
      </c>
      <c r="C272" s="5">
        <v>424.2</v>
      </c>
      <c r="D272" s="5">
        <v>408.2</v>
      </c>
      <c r="E272" s="5">
        <v>424.8</v>
      </c>
      <c r="F272" s="5">
        <v>407.2</v>
      </c>
      <c r="H272" s="22">
        <v>3.95E-2</v>
      </c>
      <c r="I272" s="34">
        <f t="shared" si="7"/>
        <v>1.825456364091016E-2</v>
      </c>
    </row>
    <row r="273" spans="2:9" x14ac:dyDescent="0.35">
      <c r="B273" s="42">
        <v>33817</v>
      </c>
      <c r="C273" s="5">
        <v>414</v>
      </c>
      <c r="D273" s="5">
        <v>424.2</v>
      </c>
      <c r="E273" s="5">
        <v>425.1</v>
      </c>
      <c r="F273" s="5">
        <v>408.3</v>
      </c>
      <c r="H273" s="22">
        <v>-2.4E-2</v>
      </c>
      <c r="I273" s="34">
        <f t="shared" si="7"/>
        <v>2.7013752455795625E-3</v>
      </c>
    </row>
    <row r="274" spans="2:9" x14ac:dyDescent="0.35">
      <c r="B274" s="42">
        <v>33848</v>
      </c>
      <c r="C274" s="5">
        <v>417.8</v>
      </c>
      <c r="D274" s="5">
        <v>414</v>
      </c>
      <c r="E274" s="5">
        <v>425.3</v>
      </c>
      <c r="F274" s="5">
        <v>412.7</v>
      </c>
      <c r="H274" s="22">
        <v>9.1999999999999998E-3</v>
      </c>
      <c r="I274" s="34">
        <f t="shared" si="7"/>
        <v>1.0776389909380235E-2</v>
      </c>
    </row>
    <row r="275" spans="2:9" x14ac:dyDescent="0.35">
      <c r="B275" s="42">
        <v>33878</v>
      </c>
      <c r="C275" s="5">
        <v>418.7</v>
      </c>
      <c r="D275" s="5">
        <v>417.8</v>
      </c>
      <c r="E275" s="5">
        <v>421.2</v>
      </c>
      <c r="F275" s="5">
        <v>396.8</v>
      </c>
      <c r="H275" s="22">
        <v>2.2000000000000001E-3</v>
      </c>
      <c r="I275" s="34">
        <f t="shared" si="7"/>
        <v>-3.8526774897019611E-2</v>
      </c>
    </row>
    <row r="276" spans="2:9" x14ac:dyDescent="0.35">
      <c r="B276" s="42">
        <v>33909</v>
      </c>
      <c r="C276" s="5">
        <v>431.4</v>
      </c>
      <c r="D276" s="5">
        <v>418.7</v>
      </c>
      <c r="E276" s="5">
        <v>431.9</v>
      </c>
      <c r="F276" s="5">
        <v>415.6</v>
      </c>
      <c r="H276" s="22">
        <v>3.0300000000000001E-2</v>
      </c>
      <c r="I276" s="34">
        <f t="shared" si="7"/>
        <v>4.7379032258064502E-2</v>
      </c>
    </row>
    <row r="277" spans="2:9" x14ac:dyDescent="0.35">
      <c r="B277" s="42">
        <v>33939</v>
      </c>
      <c r="C277" s="5">
        <v>435.7</v>
      </c>
      <c r="D277" s="5">
        <v>431.4</v>
      </c>
      <c r="E277" s="5">
        <v>442.6</v>
      </c>
      <c r="F277" s="5">
        <v>428.6</v>
      </c>
      <c r="H277" s="22">
        <v>0.01</v>
      </c>
      <c r="I277" s="34">
        <f t="shared" si="7"/>
        <v>3.128007699711266E-2</v>
      </c>
    </row>
    <row r="278" spans="2:9" x14ac:dyDescent="0.35">
      <c r="B278" s="42">
        <v>33970</v>
      </c>
      <c r="C278" s="5">
        <v>438.8</v>
      </c>
      <c r="D278" s="5">
        <v>435.7</v>
      </c>
      <c r="E278" s="5">
        <v>442.7</v>
      </c>
      <c r="F278" s="5">
        <v>426.9</v>
      </c>
      <c r="H278" s="22">
        <v>7.1000000000000004E-3</v>
      </c>
      <c r="I278" s="34">
        <f t="shared" si="7"/>
        <v>-3.9664022398507859E-3</v>
      </c>
    </row>
    <row r="279" spans="2:9" x14ac:dyDescent="0.35">
      <c r="B279" s="42">
        <v>34001</v>
      </c>
      <c r="C279" s="5">
        <v>443.4</v>
      </c>
      <c r="D279" s="5">
        <v>438.8</v>
      </c>
      <c r="E279" s="5">
        <v>450</v>
      </c>
      <c r="F279" s="5">
        <v>428.2</v>
      </c>
      <c r="H279" s="22">
        <v>1.0500000000000001E-2</v>
      </c>
      <c r="I279" s="34">
        <f t="shared" si="7"/>
        <v>3.0452096509721027E-3</v>
      </c>
    </row>
    <row r="280" spans="2:9" x14ac:dyDescent="0.35">
      <c r="B280" s="42">
        <v>34029</v>
      </c>
      <c r="C280" s="5">
        <v>451.7</v>
      </c>
      <c r="D280" s="5">
        <v>443.4</v>
      </c>
      <c r="E280" s="5">
        <v>456.8</v>
      </c>
      <c r="F280" s="5">
        <v>441.1</v>
      </c>
      <c r="H280" s="22">
        <v>1.8700000000000001E-2</v>
      </c>
      <c r="I280" s="34">
        <f t="shared" si="7"/>
        <v>3.0126109294722259E-2</v>
      </c>
    </row>
    <row r="281" spans="2:9" x14ac:dyDescent="0.35">
      <c r="B281" s="42">
        <v>34060</v>
      </c>
      <c r="C281" s="5">
        <v>440.2</v>
      </c>
      <c r="D281" s="5">
        <v>451.7</v>
      </c>
      <c r="E281" s="5">
        <v>452.6</v>
      </c>
      <c r="F281" s="5">
        <v>432.3</v>
      </c>
      <c r="H281" s="22">
        <v>-2.5499999999999998E-2</v>
      </c>
      <c r="I281" s="34">
        <f t="shared" si="7"/>
        <v>-1.995012468827928E-2</v>
      </c>
    </row>
    <row r="282" spans="2:9" x14ac:dyDescent="0.35">
      <c r="B282" s="42">
        <v>34090</v>
      </c>
      <c r="C282" s="5">
        <v>450.2</v>
      </c>
      <c r="D282" s="5">
        <v>440.2</v>
      </c>
      <c r="E282" s="5">
        <v>454.6</v>
      </c>
      <c r="F282" s="5">
        <v>436.9</v>
      </c>
      <c r="H282" s="22">
        <v>2.2700000000000001E-2</v>
      </c>
      <c r="I282" s="34">
        <f t="shared" si="7"/>
        <v>1.064075873236181E-2</v>
      </c>
    </row>
    <row r="283" spans="2:9" x14ac:dyDescent="0.35">
      <c r="B283" s="42">
        <v>34121</v>
      </c>
      <c r="C283" s="5">
        <v>450.5</v>
      </c>
      <c r="D283" s="5">
        <v>450.2</v>
      </c>
      <c r="E283" s="5">
        <v>455.6</v>
      </c>
      <c r="F283" s="5">
        <v>442.5</v>
      </c>
      <c r="H283" s="22">
        <v>6.9999999999999999E-4</v>
      </c>
      <c r="I283" s="34">
        <f t="shared" si="7"/>
        <v>1.2817578393224949E-2</v>
      </c>
    </row>
    <row r="284" spans="2:9" x14ac:dyDescent="0.35">
      <c r="B284" s="42">
        <v>34151</v>
      </c>
      <c r="C284" s="5">
        <v>448.1</v>
      </c>
      <c r="D284" s="5">
        <v>450.5</v>
      </c>
      <c r="E284" s="5">
        <v>451.1</v>
      </c>
      <c r="F284" s="5">
        <v>441.4</v>
      </c>
      <c r="H284" s="22">
        <v>-5.3E-3</v>
      </c>
      <c r="I284" s="34">
        <f t="shared" si="7"/>
        <v>-2.4858757062147241E-3</v>
      </c>
    </row>
    <row r="285" spans="2:9" x14ac:dyDescent="0.35">
      <c r="B285" s="42">
        <v>34182</v>
      </c>
      <c r="C285" s="5">
        <v>463.6</v>
      </c>
      <c r="D285" s="5">
        <v>448.1</v>
      </c>
      <c r="E285" s="5">
        <v>463.6</v>
      </c>
      <c r="F285" s="5">
        <v>446.9</v>
      </c>
      <c r="H285" s="22">
        <v>3.4599999999999999E-2</v>
      </c>
      <c r="I285" s="34">
        <f t="shared" si="7"/>
        <v>1.2460353420933323E-2</v>
      </c>
    </row>
    <row r="286" spans="2:9" x14ac:dyDescent="0.35">
      <c r="B286" s="42">
        <v>34213</v>
      </c>
      <c r="C286" s="5">
        <v>458.9</v>
      </c>
      <c r="D286" s="5">
        <v>463.6</v>
      </c>
      <c r="E286" s="5">
        <v>463.8</v>
      </c>
      <c r="F286" s="5">
        <v>449.6</v>
      </c>
      <c r="H286" s="22">
        <v>-1.01E-2</v>
      </c>
      <c r="I286" s="34">
        <f t="shared" si="7"/>
        <v>6.0416200492281469E-3</v>
      </c>
    </row>
    <row r="287" spans="2:9" x14ac:dyDescent="0.35">
      <c r="B287" s="42">
        <v>34243</v>
      </c>
      <c r="C287" s="5">
        <v>467.8</v>
      </c>
      <c r="D287" s="5">
        <v>458.9</v>
      </c>
      <c r="E287" s="5">
        <v>471.1</v>
      </c>
      <c r="F287" s="5">
        <v>456.4</v>
      </c>
      <c r="H287" s="22">
        <v>1.9400000000000001E-2</v>
      </c>
      <c r="I287" s="34">
        <f t="shared" si="7"/>
        <v>1.5124555160142217E-2</v>
      </c>
    </row>
    <row r="288" spans="2:9" x14ac:dyDescent="0.35">
      <c r="B288" s="42">
        <v>34274</v>
      </c>
      <c r="C288" s="5">
        <v>461.8</v>
      </c>
      <c r="D288" s="5">
        <v>467.8</v>
      </c>
      <c r="E288" s="5">
        <v>469.1</v>
      </c>
      <c r="F288" s="5">
        <v>454.4</v>
      </c>
      <c r="H288" s="22">
        <v>-1.2800000000000001E-2</v>
      </c>
      <c r="I288" s="34">
        <f t="shared" si="7"/>
        <v>-4.382120946538115E-3</v>
      </c>
    </row>
    <row r="289" spans="2:9" x14ac:dyDescent="0.35">
      <c r="B289" s="42">
        <v>34304</v>
      </c>
      <c r="C289" s="5">
        <v>466.4</v>
      </c>
      <c r="D289" s="5">
        <v>461.9</v>
      </c>
      <c r="E289" s="5">
        <v>471.3</v>
      </c>
      <c r="F289" s="5">
        <v>461.4</v>
      </c>
      <c r="H289" s="22">
        <v>0.01</v>
      </c>
      <c r="I289" s="34">
        <f t="shared" si="7"/>
        <v>1.5404929577464754E-2</v>
      </c>
    </row>
    <row r="290" spans="2:9" x14ac:dyDescent="0.35">
      <c r="B290" s="42">
        <v>34335</v>
      </c>
      <c r="C290" s="5">
        <v>481.6</v>
      </c>
      <c r="D290" s="5">
        <v>466.5</v>
      </c>
      <c r="E290" s="5">
        <v>482.9</v>
      </c>
      <c r="F290" s="5">
        <v>464.4</v>
      </c>
      <c r="H290" s="22">
        <v>3.2599999999999997E-2</v>
      </c>
      <c r="I290" s="34">
        <f t="shared" si="7"/>
        <v>6.5019505851755532E-3</v>
      </c>
    </row>
    <row r="291" spans="2:9" x14ac:dyDescent="0.35">
      <c r="B291" s="42">
        <v>34366</v>
      </c>
      <c r="C291" s="5">
        <v>467.1</v>
      </c>
      <c r="D291" s="5">
        <v>481.6</v>
      </c>
      <c r="E291" s="5">
        <v>482.2</v>
      </c>
      <c r="F291" s="5">
        <v>464.3</v>
      </c>
      <c r="H291" s="22">
        <v>-3.0099999999999998E-2</v>
      </c>
      <c r="I291" s="34">
        <f t="shared" si="7"/>
        <v>-2.1533161068032491E-4</v>
      </c>
    </row>
    <row r="292" spans="2:9" x14ac:dyDescent="0.35">
      <c r="B292" s="42">
        <v>34394</v>
      </c>
      <c r="C292" s="5">
        <v>445.8</v>
      </c>
      <c r="D292" s="5">
        <v>467.2</v>
      </c>
      <c r="E292" s="5">
        <v>471.1</v>
      </c>
      <c r="F292" s="5">
        <v>436.2</v>
      </c>
      <c r="H292" s="22">
        <v>-4.5600000000000002E-2</v>
      </c>
      <c r="I292" s="34">
        <f t="shared" si="7"/>
        <v>-6.0521214731854456E-2</v>
      </c>
    </row>
    <row r="293" spans="2:9" x14ac:dyDescent="0.35">
      <c r="B293" s="42">
        <v>34425</v>
      </c>
      <c r="C293" s="5">
        <v>450.9</v>
      </c>
      <c r="D293" s="5">
        <v>445.7</v>
      </c>
      <c r="E293" s="5">
        <v>452.8</v>
      </c>
      <c r="F293" s="5">
        <v>435.9</v>
      </c>
      <c r="H293" s="22">
        <v>1.14E-2</v>
      </c>
      <c r="I293" s="34">
        <f t="shared" si="7"/>
        <v>-6.8775790921593583E-4</v>
      </c>
    </row>
    <row r="294" spans="2:9" x14ac:dyDescent="0.35">
      <c r="B294" s="42">
        <v>34455</v>
      </c>
      <c r="C294" s="5">
        <v>456.5</v>
      </c>
      <c r="D294" s="5">
        <v>450.9</v>
      </c>
      <c r="E294" s="5">
        <v>457.8</v>
      </c>
      <c r="F294" s="5">
        <v>440.8</v>
      </c>
      <c r="H294" s="22">
        <v>1.24E-2</v>
      </c>
      <c r="I294" s="34">
        <f t="shared" si="7"/>
        <v>1.1241110346409844E-2</v>
      </c>
    </row>
    <row r="295" spans="2:9" x14ac:dyDescent="0.35">
      <c r="B295" s="42">
        <v>34486</v>
      </c>
      <c r="C295" s="5">
        <v>444.3</v>
      </c>
      <c r="D295" s="5">
        <v>456.5</v>
      </c>
      <c r="E295" s="5">
        <v>463.2</v>
      </c>
      <c r="F295" s="5">
        <v>439.8</v>
      </c>
      <c r="H295" s="22">
        <v>-2.6700000000000002E-2</v>
      </c>
      <c r="I295" s="34">
        <f t="shared" si="7"/>
        <v>-2.2686025408348298E-3</v>
      </c>
    </row>
    <row r="296" spans="2:9" x14ac:dyDescent="0.35">
      <c r="B296" s="42">
        <v>34516</v>
      </c>
      <c r="C296" s="5">
        <v>458.3</v>
      </c>
      <c r="D296" s="5">
        <v>444.3</v>
      </c>
      <c r="E296" s="5">
        <v>459.3</v>
      </c>
      <c r="F296" s="5">
        <v>443.6</v>
      </c>
      <c r="H296" s="22">
        <v>3.15E-2</v>
      </c>
      <c r="I296" s="34">
        <f t="shared" si="7"/>
        <v>8.6402910413825307E-3</v>
      </c>
    </row>
    <row r="297" spans="2:9" x14ac:dyDescent="0.35">
      <c r="B297" s="42">
        <v>34547</v>
      </c>
      <c r="C297" s="5">
        <v>475.5</v>
      </c>
      <c r="D297" s="5">
        <v>458.3</v>
      </c>
      <c r="E297" s="5">
        <v>477.6</v>
      </c>
      <c r="F297" s="5">
        <v>456.1</v>
      </c>
      <c r="H297" s="22">
        <v>3.7499999999999999E-2</v>
      </c>
      <c r="I297" s="34">
        <f t="shared" si="7"/>
        <v>2.8178539224526622E-2</v>
      </c>
    </row>
    <row r="298" spans="2:9" x14ac:dyDescent="0.35">
      <c r="B298" s="42">
        <v>34578</v>
      </c>
      <c r="C298" s="5">
        <v>462.7</v>
      </c>
      <c r="D298" s="5">
        <v>475.5</v>
      </c>
      <c r="E298" s="5">
        <v>475.5</v>
      </c>
      <c r="F298" s="5">
        <v>458.5</v>
      </c>
      <c r="H298" s="22">
        <v>-2.69E-2</v>
      </c>
      <c r="I298" s="34">
        <f t="shared" si="7"/>
        <v>5.2620039465030022E-3</v>
      </c>
    </row>
    <row r="299" spans="2:9" x14ac:dyDescent="0.35">
      <c r="B299" s="42">
        <v>34608</v>
      </c>
      <c r="C299" s="5">
        <v>472.4</v>
      </c>
      <c r="D299" s="5">
        <v>462.7</v>
      </c>
      <c r="E299" s="5">
        <v>474.7</v>
      </c>
      <c r="F299" s="5">
        <v>449.3</v>
      </c>
      <c r="H299" s="22">
        <v>2.1000000000000001E-2</v>
      </c>
      <c r="I299" s="34">
        <f t="shared" si="7"/>
        <v>-2.0065430752453595E-2</v>
      </c>
    </row>
    <row r="300" spans="2:9" x14ac:dyDescent="0.35">
      <c r="B300" s="42">
        <v>34639</v>
      </c>
      <c r="C300" s="5">
        <v>453.7</v>
      </c>
      <c r="D300" s="5">
        <v>472.3</v>
      </c>
      <c r="E300" s="5">
        <v>472.3</v>
      </c>
      <c r="F300" s="5">
        <v>444.2</v>
      </c>
      <c r="H300" s="22">
        <v>-3.9600000000000003E-2</v>
      </c>
      <c r="I300" s="34">
        <f t="shared" si="7"/>
        <v>-1.1350990429557117E-2</v>
      </c>
    </row>
    <row r="301" spans="2:9" x14ac:dyDescent="0.35">
      <c r="B301" s="42">
        <v>34669</v>
      </c>
      <c r="C301" s="5">
        <v>459.3</v>
      </c>
      <c r="D301" s="5">
        <v>453.6</v>
      </c>
      <c r="E301" s="5">
        <v>462.7</v>
      </c>
      <c r="F301" s="5">
        <v>442.9</v>
      </c>
      <c r="H301" s="22">
        <v>1.23E-2</v>
      </c>
      <c r="I301" s="34">
        <f t="shared" si="7"/>
        <v>-2.9266096352994486E-3</v>
      </c>
    </row>
    <row r="302" spans="2:9" x14ac:dyDescent="0.35">
      <c r="B302" s="42">
        <v>34700</v>
      </c>
      <c r="C302" s="5">
        <v>470.4</v>
      </c>
      <c r="D302" s="5">
        <v>459.2</v>
      </c>
      <c r="E302" s="5">
        <v>471.4</v>
      </c>
      <c r="F302" s="5">
        <v>457.2</v>
      </c>
      <c r="H302" s="22">
        <v>2.4199999999999999E-2</v>
      </c>
      <c r="I302" s="34">
        <f t="shared" si="7"/>
        <v>3.2287198013095431E-2</v>
      </c>
    </row>
    <row r="303" spans="2:9" x14ac:dyDescent="0.35">
      <c r="B303" s="42">
        <v>34731</v>
      </c>
      <c r="C303" s="5">
        <v>487.4</v>
      </c>
      <c r="D303" s="5">
        <v>470.4</v>
      </c>
      <c r="E303" s="5">
        <v>489.2</v>
      </c>
      <c r="F303" s="5">
        <v>469.3</v>
      </c>
      <c r="H303" s="22">
        <v>3.61E-2</v>
      </c>
      <c r="I303" s="34">
        <f t="shared" si="7"/>
        <v>2.6465441819772506E-2</v>
      </c>
    </row>
    <row r="304" spans="2:9" x14ac:dyDescent="0.35">
      <c r="B304" s="42">
        <v>34759</v>
      </c>
      <c r="C304" s="5">
        <v>500.7</v>
      </c>
      <c r="D304" s="5">
        <v>487.4</v>
      </c>
      <c r="E304" s="5">
        <v>508.1</v>
      </c>
      <c r="F304" s="5">
        <v>479.7</v>
      </c>
      <c r="H304" s="22">
        <v>2.7300000000000001E-2</v>
      </c>
      <c r="I304" s="34">
        <f t="shared" si="7"/>
        <v>2.2160664819944609E-2</v>
      </c>
    </row>
    <row r="305" spans="2:9" x14ac:dyDescent="0.35">
      <c r="B305" s="42">
        <v>34790</v>
      </c>
      <c r="C305" s="5">
        <v>514.70000000000005</v>
      </c>
      <c r="D305" s="5">
        <v>500.7</v>
      </c>
      <c r="E305" s="5">
        <v>515.29999999999995</v>
      </c>
      <c r="F305" s="5">
        <v>500.2</v>
      </c>
      <c r="H305" s="22">
        <v>2.8000000000000001E-2</v>
      </c>
      <c r="I305" s="34">
        <f t="shared" si="7"/>
        <v>4.2735042735042805E-2</v>
      </c>
    </row>
    <row r="306" spans="2:9" x14ac:dyDescent="0.35">
      <c r="B306" s="42">
        <v>34820</v>
      </c>
      <c r="C306" s="5">
        <v>533.4</v>
      </c>
      <c r="D306" s="5">
        <v>514.79999999999995</v>
      </c>
      <c r="E306" s="5">
        <v>533.4</v>
      </c>
      <c r="F306" s="5">
        <v>513</v>
      </c>
      <c r="H306" s="22">
        <v>3.6299999999999999E-2</v>
      </c>
      <c r="I306" s="34">
        <f t="shared" si="7"/>
        <v>2.5589764094362311E-2</v>
      </c>
    </row>
    <row r="307" spans="2:9" x14ac:dyDescent="0.35">
      <c r="B307" s="42">
        <v>34851</v>
      </c>
      <c r="C307" s="5">
        <v>544.79999999999995</v>
      </c>
      <c r="D307" s="5">
        <v>533.4</v>
      </c>
      <c r="E307" s="5">
        <v>551.1</v>
      </c>
      <c r="F307" s="5">
        <v>526</v>
      </c>
      <c r="H307" s="22">
        <v>2.1399999999999999E-2</v>
      </c>
      <c r="I307" s="34">
        <f t="shared" si="7"/>
        <v>2.5341130604288553E-2</v>
      </c>
    </row>
    <row r="308" spans="2:9" x14ac:dyDescent="0.35">
      <c r="B308" s="42">
        <v>34881</v>
      </c>
      <c r="C308" s="5">
        <v>562.1</v>
      </c>
      <c r="D308" s="5">
        <v>544.79999999999995</v>
      </c>
      <c r="E308" s="5">
        <v>565.4</v>
      </c>
      <c r="F308" s="5">
        <v>542.5</v>
      </c>
      <c r="H308" s="22">
        <v>3.1800000000000002E-2</v>
      </c>
      <c r="I308" s="34">
        <f t="shared" si="7"/>
        <v>3.1368821292775628E-2</v>
      </c>
    </row>
    <row r="309" spans="2:9" x14ac:dyDescent="0.35">
      <c r="B309" s="42">
        <v>34912</v>
      </c>
      <c r="C309" s="5">
        <v>561.9</v>
      </c>
      <c r="D309" s="5">
        <v>562.1</v>
      </c>
      <c r="E309" s="5">
        <v>565.6</v>
      </c>
      <c r="F309" s="5">
        <v>553</v>
      </c>
      <c r="H309" s="22">
        <v>-4.0000000000000002E-4</v>
      </c>
      <c r="I309" s="34">
        <f t="shared" si="7"/>
        <v>1.9354838709677358E-2</v>
      </c>
    </row>
    <row r="310" spans="2:9" x14ac:dyDescent="0.35">
      <c r="B310" s="42">
        <v>34943</v>
      </c>
      <c r="C310" s="5">
        <v>584.4</v>
      </c>
      <c r="D310" s="5">
        <v>561.9</v>
      </c>
      <c r="E310" s="5">
        <v>587.6</v>
      </c>
      <c r="F310" s="5">
        <v>561</v>
      </c>
      <c r="H310" s="22">
        <v>0.04</v>
      </c>
      <c r="I310" s="34">
        <f t="shared" si="7"/>
        <v>1.4466546112115841E-2</v>
      </c>
    </row>
    <row r="311" spans="2:9" x14ac:dyDescent="0.35">
      <c r="B311" s="42">
        <v>34973</v>
      </c>
      <c r="C311" s="5">
        <v>581.5</v>
      </c>
      <c r="D311" s="5">
        <v>584.4</v>
      </c>
      <c r="E311" s="5">
        <v>590.70000000000005</v>
      </c>
      <c r="F311" s="5">
        <v>571.5</v>
      </c>
      <c r="H311" s="22">
        <v>-5.0000000000000001E-3</v>
      </c>
      <c r="I311" s="34">
        <f t="shared" si="7"/>
        <v>1.8716577540107027E-2</v>
      </c>
    </row>
    <row r="312" spans="2:9" x14ac:dyDescent="0.35">
      <c r="B312" s="42">
        <v>35004</v>
      </c>
      <c r="C312" s="5">
        <v>605.4</v>
      </c>
      <c r="D312" s="5">
        <v>581.5</v>
      </c>
      <c r="E312" s="5">
        <v>608.70000000000005</v>
      </c>
      <c r="F312" s="5">
        <v>581</v>
      </c>
      <c r="H312" s="22">
        <v>4.1099999999999998E-2</v>
      </c>
      <c r="I312" s="34">
        <f t="shared" si="7"/>
        <v>1.6622922134733153E-2</v>
      </c>
    </row>
    <row r="313" spans="2:9" x14ac:dyDescent="0.35">
      <c r="B313" s="42">
        <v>35034</v>
      </c>
      <c r="C313" s="5">
        <v>615.9</v>
      </c>
      <c r="D313" s="5">
        <v>605.4</v>
      </c>
      <c r="E313" s="5">
        <v>622.9</v>
      </c>
      <c r="F313" s="5">
        <v>605</v>
      </c>
      <c r="H313" s="22">
        <v>1.7299999999999999E-2</v>
      </c>
      <c r="I313" s="34">
        <f t="shared" si="7"/>
        <v>4.1308089500860623E-2</v>
      </c>
    </row>
    <row r="314" spans="2:9" x14ac:dyDescent="0.35">
      <c r="B314" s="42">
        <v>35065</v>
      </c>
      <c r="C314" s="5">
        <v>636</v>
      </c>
      <c r="D314" s="5">
        <v>615.9</v>
      </c>
      <c r="E314" s="5">
        <v>636.20000000000005</v>
      </c>
      <c r="F314" s="5">
        <v>597.29999999999995</v>
      </c>
      <c r="H314" s="22">
        <v>3.2599999999999997E-2</v>
      </c>
      <c r="I314" s="34">
        <f t="shared" si="7"/>
        <v>-1.2727272727272809E-2</v>
      </c>
    </row>
    <row r="315" spans="2:9" x14ac:dyDescent="0.35">
      <c r="B315" s="42">
        <v>35096</v>
      </c>
      <c r="C315" s="5">
        <v>640.4</v>
      </c>
      <c r="D315" s="5">
        <v>636</v>
      </c>
      <c r="E315" s="5">
        <v>664.2</v>
      </c>
      <c r="F315" s="5">
        <v>633.70000000000005</v>
      </c>
      <c r="H315" s="22">
        <v>6.8999999999999999E-3</v>
      </c>
      <c r="I315" s="34">
        <f t="shared" si="7"/>
        <v>6.0940900719906432E-2</v>
      </c>
    </row>
    <row r="316" spans="2:9" x14ac:dyDescent="0.35">
      <c r="B316" s="42">
        <v>35125</v>
      </c>
      <c r="C316" s="5">
        <v>645.5</v>
      </c>
      <c r="D316" s="5">
        <v>640.4</v>
      </c>
      <c r="E316" s="5">
        <v>657</v>
      </c>
      <c r="F316" s="5">
        <v>627.6</v>
      </c>
      <c r="H316" s="22">
        <v>8.0000000000000002E-3</v>
      </c>
      <c r="I316" s="34">
        <f t="shared" si="7"/>
        <v>-9.6260059965284084E-3</v>
      </c>
    </row>
    <row r="317" spans="2:9" x14ac:dyDescent="0.35">
      <c r="B317" s="42">
        <v>35156</v>
      </c>
      <c r="C317" s="5">
        <v>654.20000000000005</v>
      </c>
      <c r="D317" s="5">
        <v>645.5</v>
      </c>
      <c r="E317" s="5">
        <v>656.7</v>
      </c>
      <c r="F317" s="5">
        <v>624.1</v>
      </c>
      <c r="H317" s="22">
        <v>1.35E-2</v>
      </c>
      <c r="I317" s="34">
        <f t="shared" si="7"/>
        <v>-5.5768005098788542E-3</v>
      </c>
    </row>
    <row r="318" spans="2:9" x14ac:dyDescent="0.35">
      <c r="B318" s="42">
        <v>35186</v>
      </c>
      <c r="C318" s="5">
        <v>669.1</v>
      </c>
      <c r="D318" s="5">
        <v>654.20000000000005</v>
      </c>
      <c r="E318" s="5">
        <v>681.1</v>
      </c>
      <c r="F318" s="5">
        <v>630.1</v>
      </c>
      <c r="H318" s="22">
        <v>2.2800000000000001E-2</v>
      </c>
      <c r="I318" s="34">
        <f t="shared" si="7"/>
        <v>9.6138439352668748E-3</v>
      </c>
    </row>
    <row r="319" spans="2:9" x14ac:dyDescent="0.35">
      <c r="B319" s="42">
        <v>35217</v>
      </c>
      <c r="C319" s="5">
        <v>670.6</v>
      </c>
      <c r="D319" s="5">
        <v>669.1</v>
      </c>
      <c r="E319" s="5">
        <v>680.3</v>
      </c>
      <c r="F319" s="5">
        <v>658.8</v>
      </c>
      <c r="H319" s="22">
        <v>2.2000000000000001E-3</v>
      </c>
      <c r="I319" s="34">
        <f t="shared" si="7"/>
        <v>4.5548325662593037E-2</v>
      </c>
    </row>
    <row r="320" spans="2:9" x14ac:dyDescent="0.35">
      <c r="B320" s="42">
        <v>35247</v>
      </c>
      <c r="C320" s="5">
        <v>640</v>
      </c>
      <c r="D320" s="5">
        <v>670.6</v>
      </c>
      <c r="E320" s="5">
        <v>675.9</v>
      </c>
      <c r="F320" s="5">
        <v>605.9</v>
      </c>
      <c r="H320" s="22">
        <v>-4.5600000000000002E-2</v>
      </c>
      <c r="I320" s="34">
        <f t="shared" si="7"/>
        <v>-8.0297510625379487E-2</v>
      </c>
    </row>
    <row r="321" spans="2:9" x14ac:dyDescent="0.35">
      <c r="B321" s="42">
        <v>35278</v>
      </c>
      <c r="C321" s="5">
        <v>652</v>
      </c>
      <c r="D321" s="5">
        <v>640</v>
      </c>
      <c r="E321" s="5">
        <v>670.7</v>
      </c>
      <c r="F321" s="5">
        <v>639.5</v>
      </c>
      <c r="H321" s="22">
        <v>1.8800000000000001E-2</v>
      </c>
      <c r="I321" s="34">
        <f t="shared" si="7"/>
        <v>5.5454695494306039E-2</v>
      </c>
    </row>
    <row r="322" spans="2:9" x14ac:dyDescent="0.35">
      <c r="B322" s="42">
        <v>35309</v>
      </c>
      <c r="C322" s="5">
        <v>687.3</v>
      </c>
      <c r="D322" s="5">
        <v>652</v>
      </c>
      <c r="E322" s="5">
        <v>690.9</v>
      </c>
      <c r="F322" s="5">
        <v>644</v>
      </c>
      <c r="H322" s="22">
        <v>5.4100000000000002E-2</v>
      </c>
      <c r="I322" s="34">
        <f t="shared" si="7"/>
        <v>7.0367474589523304E-3</v>
      </c>
    </row>
    <row r="323" spans="2:9" x14ac:dyDescent="0.35">
      <c r="B323" s="42">
        <v>35339</v>
      </c>
      <c r="C323" s="5">
        <v>705.3</v>
      </c>
      <c r="D323" s="5">
        <v>687.3</v>
      </c>
      <c r="E323" s="5">
        <v>714.1</v>
      </c>
      <c r="F323" s="5">
        <v>684.4</v>
      </c>
      <c r="H323" s="22">
        <v>2.6200000000000001E-2</v>
      </c>
      <c r="I323" s="34">
        <f t="shared" si="7"/>
        <v>6.2732919254658404E-2</v>
      </c>
    </row>
    <row r="324" spans="2:9" x14ac:dyDescent="0.35">
      <c r="B324" s="42">
        <v>35370</v>
      </c>
      <c r="C324" s="5">
        <v>757</v>
      </c>
      <c r="D324" s="5">
        <v>705.3</v>
      </c>
      <c r="E324" s="5">
        <v>762.1</v>
      </c>
      <c r="F324" s="5">
        <v>701.3</v>
      </c>
      <c r="H324" s="22">
        <v>7.3300000000000004E-2</v>
      </c>
      <c r="I324" s="34">
        <f t="shared" si="7"/>
        <v>2.4693161893629467E-2</v>
      </c>
    </row>
    <row r="325" spans="2:9" x14ac:dyDescent="0.35">
      <c r="B325" s="42">
        <v>35400</v>
      </c>
      <c r="C325" s="5">
        <v>740.7</v>
      </c>
      <c r="D325" s="5">
        <v>757</v>
      </c>
      <c r="E325" s="5">
        <v>761.8</v>
      </c>
      <c r="F325" s="5">
        <v>716.7</v>
      </c>
      <c r="H325" s="22">
        <v>-2.1499999999999998E-2</v>
      </c>
      <c r="I325" s="34">
        <f t="shared" ref="I325:I388" si="8">F325/F324-1</f>
        <v>2.195921859403982E-2</v>
      </c>
    </row>
    <row r="326" spans="2:9" x14ac:dyDescent="0.35">
      <c r="B326" s="42">
        <v>35431</v>
      </c>
      <c r="C326" s="5">
        <v>786.2</v>
      </c>
      <c r="D326" s="5">
        <v>740.7</v>
      </c>
      <c r="E326" s="5">
        <v>794.7</v>
      </c>
      <c r="F326" s="5">
        <v>729.5</v>
      </c>
      <c r="H326" s="22">
        <v>6.1400000000000003E-2</v>
      </c>
      <c r="I326" s="34">
        <f t="shared" si="8"/>
        <v>1.7859634435607674E-2</v>
      </c>
    </row>
    <row r="327" spans="2:9" x14ac:dyDescent="0.35">
      <c r="B327" s="42">
        <v>35462</v>
      </c>
      <c r="C327" s="5">
        <v>790.8</v>
      </c>
      <c r="D327" s="5">
        <v>786.2</v>
      </c>
      <c r="E327" s="5">
        <v>817.7</v>
      </c>
      <c r="F327" s="5">
        <v>773.4</v>
      </c>
      <c r="H327" s="22">
        <v>5.8999999999999999E-3</v>
      </c>
      <c r="I327" s="34">
        <f t="shared" si="8"/>
        <v>6.0178204249485834E-2</v>
      </c>
    </row>
    <row r="328" spans="2:9" x14ac:dyDescent="0.35">
      <c r="B328" s="42">
        <v>35490</v>
      </c>
      <c r="C328" s="5">
        <v>757.1</v>
      </c>
      <c r="D328" s="5">
        <v>790.8</v>
      </c>
      <c r="E328" s="5">
        <v>814.9</v>
      </c>
      <c r="F328" s="5">
        <v>756.1</v>
      </c>
      <c r="H328" s="22">
        <v>-4.2599999999999999E-2</v>
      </c>
      <c r="I328" s="34">
        <f t="shared" si="8"/>
        <v>-2.2368761313679819E-2</v>
      </c>
    </row>
    <row r="329" spans="2:9" x14ac:dyDescent="0.35">
      <c r="B329" s="42">
        <v>35521</v>
      </c>
      <c r="C329" s="5">
        <v>801.3</v>
      </c>
      <c r="D329" s="5">
        <v>757.1</v>
      </c>
      <c r="E329" s="5">
        <v>804.1</v>
      </c>
      <c r="F329" s="5">
        <v>733.5</v>
      </c>
      <c r="H329" s="22">
        <v>5.8400000000000001E-2</v>
      </c>
      <c r="I329" s="34">
        <f t="shared" si="8"/>
        <v>-2.9890226160560807E-2</v>
      </c>
    </row>
    <row r="330" spans="2:9" x14ac:dyDescent="0.35">
      <c r="B330" s="42">
        <v>35551</v>
      </c>
      <c r="C330" s="5">
        <v>848.3</v>
      </c>
      <c r="D330" s="5">
        <v>801.3</v>
      </c>
      <c r="E330" s="5">
        <v>851.9</v>
      </c>
      <c r="F330" s="5">
        <v>793.2</v>
      </c>
      <c r="H330" s="22">
        <v>5.8700000000000002E-2</v>
      </c>
      <c r="I330" s="34">
        <f t="shared" si="8"/>
        <v>8.1390593047034887E-2</v>
      </c>
    </row>
    <row r="331" spans="2:9" x14ac:dyDescent="0.35">
      <c r="B331" s="42">
        <v>35582</v>
      </c>
      <c r="C331" s="5">
        <v>885.1</v>
      </c>
      <c r="D331" s="5">
        <v>848.3</v>
      </c>
      <c r="E331" s="5">
        <v>902.1</v>
      </c>
      <c r="F331" s="5">
        <v>838.8</v>
      </c>
      <c r="H331" s="22">
        <v>4.3400000000000001E-2</v>
      </c>
      <c r="I331" s="34">
        <f t="shared" si="8"/>
        <v>5.748865355521926E-2</v>
      </c>
    </row>
    <row r="332" spans="2:9" x14ac:dyDescent="0.35">
      <c r="B332" s="42">
        <v>35612</v>
      </c>
      <c r="C332" s="5">
        <v>954.3</v>
      </c>
      <c r="D332" s="5">
        <v>885.1</v>
      </c>
      <c r="E332" s="5">
        <v>957.7</v>
      </c>
      <c r="F332" s="5">
        <v>884.5</v>
      </c>
      <c r="H332" s="22">
        <v>7.8200000000000006E-2</v>
      </c>
      <c r="I332" s="34">
        <f t="shared" si="8"/>
        <v>5.4482594182164945E-2</v>
      </c>
    </row>
    <row r="333" spans="2:9" x14ac:dyDescent="0.35">
      <c r="B333" s="42">
        <v>35643</v>
      </c>
      <c r="C333" s="5">
        <v>899.5</v>
      </c>
      <c r="D333" s="5">
        <v>954.3</v>
      </c>
      <c r="E333" s="5">
        <v>964.2</v>
      </c>
      <c r="F333" s="5">
        <v>893.3</v>
      </c>
      <c r="H333" s="22">
        <v>-5.74E-2</v>
      </c>
      <c r="I333" s="34">
        <f t="shared" si="8"/>
        <v>9.949123798756343E-3</v>
      </c>
    </row>
    <row r="334" spans="2:9" x14ac:dyDescent="0.35">
      <c r="B334" s="42">
        <v>35674</v>
      </c>
      <c r="C334" s="5">
        <v>947.3</v>
      </c>
      <c r="D334" s="5">
        <v>899.5</v>
      </c>
      <c r="E334" s="5">
        <v>960.6</v>
      </c>
      <c r="F334" s="5">
        <v>899.5</v>
      </c>
      <c r="H334" s="22">
        <v>5.3100000000000001E-2</v>
      </c>
      <c r="I334" s="34">
        <f t="shared" si="8"/>
        <v>6.9405574834882078E-3</v>
      </c>
    </row>
    <row r="335" spans="2:9" x14ac:dyDescent="0.35">
      <c r="B335" s="42">
        <v>35704</v>
      </c>
      <c r="C335" s="5">
        <v>914.6</v>
      </c>
      <c r="D335" s="5">
        <v>950.9</v>
      </c>
      <c r="E335" s="5">
        <v>983.1</v>
      </c>
      <c r="F335" s="5">
        <v>855.3</v>
      </c>
      <c r="H335" s="22">
        <v>-3.4500000000000003E-2</v>
      </c>
      <c r="I335" s="34">
        <f t="shared" si="8"/>
        <v>-4.9138410227904439E-2</v>
      </c>
    </row>
    <row r="336" spans="2:9" x14ac:dyDescent="0.35">
      <c r="B336" s="42">
        <v>35735</v>
      </c>
      <c r="C336" s="5">
        <v>955.4</v>
      </c>
      <c r="D336" s="5">
        <v>914.6</v>
      </c>
      <c r="E336" s="5">
        <v>964.5</v>
      </c>
      <c r="F336" s="5">
        <v>900.6</v>
      </c>
      <c r="H336" s="22">
        <v>4.4600000000000001E-2</v>
      </c>
      <c r="I336" s="34">
        <f t="shared" si="8"/>
        <v>5.2963872325499928E-2</v>
      </c>
    </row>
    <row r="337" spans="2:9" x14ac:dyDescent="0.35">
      <c r="B337" s="42">
        <v>35765</v>
      </c>
      <c r="C337" s="5">
        <v>970.4</v>
      </c>
      <c r="D337" s="5">
        <v>955.4</v>
      </c>
      <c r="E337" s="5">
        <v>986.2</v>
      </c>
      <c r="F337" s="5">
        <v>924.9</v>
      </c>
      <c r="H337" s="22">
        <v>1.5699999999999999E-2</v>
      </c>
      <c r="I337" s="34">
        <f t="shared" si="8"/>
        <v>2.6982011992005228E-2</v>
      </c>
    </row>
    <row r="338" spans="2:9" x14ac:dyDescent="0.35">
      <c r="B338" s="42">
        <v>35796</v>
      </c>
      <c r="C338" s="5">
        <v>980.3</v>
      </c>
      <c r="D338" s="5">
        <v>970.4</v>
      </c>
      <c r="E338" s="5">
        <v>992.6</v>
      </c>
      <c r="F338" s="5">
        <v>912.8</v>
      </c>
      <c r="H338" s="22">
        <v>1.0200000000000001E-2</v>
      </c>
      <c r="I338" s="34">
        <f t="shared" si="8"/>
        <v>-1.3082495404908689E-2</v>
      </c>
    </row>
    <row r="339" spans="2:9" x14ac:dyDescent="0.35">
      <c r="B339" s="42">
        <v>35827</v>
      </c>
      <c r="C339" s="43">
        <v>1049.3</v>
      </c>
      <c r="D339" s="5">
        <v>980.3</v>
      </c>
      <c r="E339" s="43">
        <v>1051.7</v>
      </c>
      <c r="F339" s="5">
        <v>980.3</v>
      </c>
      <c r="H339" s="22">
        <v>7.0400000000000004E-2</v>
      </c>
      <c r="I339" s="34">
        <f t="shared" si="8"/>
        <v>7.3948290972830844E-2</v>
      </c>
    </row>
    <row r="340" spans="2:9" x14ac:dyDescent="0.35">
      <c r="B340" s="42">
        <v>35855</v>
      </c>
      <c r="C340" s="43">
        <v>1101.8</v>
      </c>
      <c r="D340" s="43">
        <v>1049.3</v>
      </c>
      <c r="E340" s="43">
        <v>1113.0999999999999</v>
      </c>
      <c r="F340" s="43">
        <v>1030.9000000000001</v>
      </c>
      <c r="H340" s="22">
        <v>0.05</v>
      </c>
      <c r="I340" s="34">
        <f t="shared" si="8"/>
        <v>5.161685198408672E-2</v>
      </c>
    </row>
    <row r="341" spans="2:9" x14ac:dyDescent="0.35">
      <c r="B341" s="42">
        <v>35886</v>
      </c>
      <c r="C341" s="43">
        <v>1111.8</v>
      </c>
      <c r="D341" s="43">
        <v>1101.8</v>
      </c>
      <c r="E341" s="43">
        <v>1133</v>
      </c>
      <c r="F341" s="43">
        <v>1076.7</v>
      </c>
      <c r="H341" s="22">
        <v>9.1000000000000004E-3</v>
      </c>
      <c r="I341" s="34">
        <f t="shared" si="8"/>
        <v>4.4427199534387452E-2</v>
      </c>
    </row>
    <row r="342" spans="2:9" x14ac:dyDescent="0.35">
      <c r="B342" s="42">
        <v>35916</v>
      </c>
      <c r="C342" s="43">
        <v>1090.8</v>
      </c>
      <c r="D342" s="43">
        <v>1111.8</v>
      </c>
      <c r="E342" s="43">
        <v>1130.5</v>
      </c>
      <c r="F342" s="43">
        <v>1074.4000000000001</v>
      </c>
      <c r="H342" s="22">
        <v>-1.89E-2</v>
      </c>
      <c r="I342" s="34">
        <f t="shared" si="8"/>
        <v>-2.1361567753319655E-3</v>
      </c>
    </row>
    <row r="343" spans="2:9" x14ac:dyDescent="0.35">
      <c r="B343" s="42">
        <v>35947</v>
      </c>
      <c r="C343" s="43">
        <v>1133.8</v>
      </c>
      <c r="D343" s="43">
        <v>1090.8</v>
      </c>
      <c r="E343" s="43">
        <v>1145.2</v>
      </c>
      <c r="F343" s="43">
        <v>1074.7</v>
      </c>
      <c r="H343" s="22">
        <v>3.9399999999999998E-2</v>
      </c>
      <c r="I343" s="34">
        <f t="shared" si="8"/>
        <v>2.7922561429627457E-4</v>
      </c>
    </row>
    <row r="344" spans="2:9" x14ac:dyDescent="0.35">
      <c r="B344" s="42">
        <v>35977</v>
      </c>
      <c r="C344" s="43">
        <v>1120.7</v>
      </c>
      <c r="D344" s="43">
        <v>1133.8</v>
      </c>
      <c r="E344" s="43">
        <v>1190.5999999999999</v>
      </c>
      <c r="F344" s="43">
        <v>1114.3</v>
      </c>
      <c r="H344" s="22">
        <v>-1.1599999999999999E-2</v>
      </c>
      <c r="I344" s="34">
        <f t="shared" si="8"/>
        <v>3.684749232343898E-2</v>
      </c>
    </row>
    <row r="345" spans="2:9" x14ac:dyDescent="0.35">
      <c r="B345" s="42">
        <v>36008</v>
      </c>
      <c r="C345" s="5">
        <v>957.3</v>
      </c>
      <c r="D345" s="43">
        <v>1120.7</v>
      </c>
      <c r="E345" s="43">
        <v>1121.8</v>
      </c>
      <c r="F345" s="5">
        <v>957.3</v>
      </c>
      <c r="H345" s="22">
        <v>-0.14580000000000001</v>
      </c>
      <c r="I345" s="34">
        <f t="shared" si="8"/>
        <v>-0.140895629543211</v>
      </c>
    </row>
    <row r="346" spans="2:9" x14ac:dyDescent="0.35">
      <c r="B346" s="42">
        <v>36039</v>
      </c>
      <c r="C346" s="43">
        <v>1017</v>
      </c>
      <c r="D346" s="5">
        <v>957.3</v>
      </c>
      <c r="E346" s="43">
        <v>1066.0999999999999</v>
      </c>
      <c r="F346" s="5">
        <v>940</v>
      </c>
      <c r="H346" s="22">
        <v>6.2399999999999997E-2</v>
      </c>
      <c r="I346" s="34">
        <f t="shared" si="8"/>
        <v>-1.8071659876736645E-2</v>
      </c>
    </row>
    <row r="347" spans="2:9" x14ac:dyDescent="0.35">
      <c r="B347" s="42">
        <v>36069</v>
      </c>
      <c r="C347" s="43">
        <v>1098.7</v>
      </c>
      <c r="D347" s="43">
        <v>1017</v>
      </c>
      <c r="E347" s="43">
        <v>1103.8</v>
      </c>
      <c r="F347" s="5">
        <v>923.3</v>
      </c>
      <c r="H347" s="22">
        <v>8.0299999999999996E-2</v>
      </c>
      <c r="I347" s="34">
        <f t="shared" si="8"/>
        <v>-1.7765957446808534E-2</v>
      </c>
    </row>
    <row r="348" spans="2:9" x14ac:dyDescent="0.35">
      <c r="B348" s="42">
        <v>36100</v>
      </c>
      <c r="C348" s="43">
        <v>1163.5999999999999</v>
      </c>
      <c r="D348" s="43">
        <v>1098.7</v>
      </c>
      <c r="E348" s="43">
        <v>1193</v>
      </c>
      <c r="F348" s="43">
        <v>1098.7</v>
      </c>
      <c r="H348" s="22">
        <v>5.91E-2</v>
      </c>
      <c r="I348" s="34">
        <f t="shared" si="8"/>
        <v>0.18997075706704214</v>
      </c>
    </row>
    <row r="349" spans="2:9" x14ac:dyDescent="0.35">
      <c r="B349" s="42">
        <v>36130</v>
      </c>
      <c r="C349" s="43">
        <v>1229.2</v>
      </c>
      <c r="D349" s="43">
        <v>1163.5999999999999</v>
      </c>
      <c r="E349" s="43">
        <v>1244.9000000000001</v>
      </c>
      <c r="F349" s="43">
        <v>1136.9000000000001</v>
      </c>
      <c r="H349" s="22">
        <v>5.6399999999999999E-2</v>
      </c>
      <c r="I349" s="34">
        <f t="shared" si="8"/>
        <v>3.476836261035765E-2</v>
      </c>
    </row>
    <row r="350" spans="2:9" x14ac:dyDescent="0.35">
      <c r="B350" s="42">
        <v>36161</v>
      </c>
      <c r="C350" s="43">
        <v>1279.5999999999999</v>
      </c>
      <c r="D350" s="43">
        <v>1229.2</v>
      </c>
      <c r="E350" s="43">
        <v>1280.4000000000001</v>
      </c>
      <c r="F350" s="43">
        <v>1205.5</v>
      </c>
      <c r="H350" s="22">
        <v>4.1000000000000002E-2</v>
      </c>
      <c r="I350" s="34">
        <f t="shared" si="8"/>
        <v>6.0339519746679393E-2</v>
      </c>
    </row>
    <row r="351" spans="2:9" x14ac:dyDescent="0.35">
      <c r="B351" s="42">
        <v>36192</v>
      </c>
      <c r="C351" s="43">
        <v>1238.3</v>
      </c>
      <c r="D351" s="43">
        <v>1279.5999999999999</v>
      </c>
      <c r="E351" s="43">
        <v>1283.8</v>
      </c>
      <c r="F351" s="43">
        <v>1211.9000000000001</v>
      </c>
      <c r="H351" s="22">
        <v>-3.2300000000000002E-2</v>
      </c>
      <c r="I351" s="34">
        <f t="shared" si="8"/>
        <v>5.3090004147657854E-3</v>
      </c>
    </row>
    <row r="352" spans="2:9" x14ac:dyDescent="0.35">
      <c r="B352" s="42">
        <v>36220</v>
      </c>
      <c r="C352" s="43">
        <v>1286.4000000000001</v>
      </c>
      <c r="D352" s="43">
        <v>1238.3</v>
      </c>
      <c r="E352" s="43">
        <v>1323.8</v>
      </c>
      <c r="F352" s="43">
        <v>1216</v>
      </c>
      <c r="H352" s="22">
        <v>3.8800000000000001E-2</v>
      </c>
      <c r="I352" s="34">
        <f t="shared" si="8"/>
        <v>3.3831174189289381E-3</v>
      </c>
    </row>
    <row r="353" spans="2:9" x14ac:dyDescent="0.35">
      <c r="B353" s="42">
        <v>36251</v>
      </c>
      <c r="C353" s="43">
        <v>1335.2</v>
      </c>
      <c r="D353" s="43">
        <v>1286.4000000000001</v>
      </c>
      <c r="E353" s="43">
        <v>1371.6</v>
      </c>
      <c r="F353" s="43">
        <v>1282.5999999999999</v>
      </c>
      <c r="H353" s="22">
        <v>3.7900000000000003E-2</v>
      </c>
      <c r="I353" s="34">
        <f t="shared" si="8"/>
        <v>5.4769736842105177E-2</v>
      </c>
    </row>
    <row r="354" spans="2:9" x14ac:dyDescent="0.35">
      <c r="B354" s="42">
        <v>36281</v>
      </c>
      <c r="C354" s="43">
        <v>1301.8</v>
      </c>
      <c r="D354" s="43">
        <v>1335.2</v>
      </c>
      <c r="E354" s="43">
        <v>1376</v>
      </c>
      <c r="F354" s="43">
        <v>1277.3</v>
      </c>
      <c r="H354" s="22">
        <v>-2.5000000000000001E-2</v>
      </c>
      <c r="I354" s="34">
        <f t="shared" si="8"/>
        <v>-4.1322314049586639E-3</v>
      </c>
    </row>
    <row r="355" spans="2:9" x14ac:dyDescent="0.35">
      <c r="B355" s="42">
        <v>36312</v>
      </c>
      <c r="C355" s="43">
        <v>1372.7</v>
      </c>
      <c r="D355" s="43">
        <v>1301.8</v>
      </c>
      <c r="E355" s="43">
        <v>1372.9</v>
      </c>
      <c r="F355" s="43">
        <v>1277.5</v>
      </c>
      <c r="H355" s="22">
        <v>5.45E-2</v>
      </c>
      <c r="I355" s="34">
        <f t="shared" si="8"/>
        <v>1.5658028654197409E-4</v>
      </c>
    </row>
    <row r="356" spans="2:9" x14ac:dyDescent="0.35">
      <c r="B356" s="42">
        <v>36342</v>
      </c>
      <c r="C356" s="43">
        <v>1328.7</v>
      </c>
      <c r="D356" s="43">
        <v>1372.7</v>
      </c>
      <c r="E356" s="43">
        <v>1420.3</v>
      </c>
      <c r="F356" s="43">
        <v>1328.5</v>
      </c>
      <c r="H356" s="22">
        <v>-3.2099999999999997E-2</v>
      </c>
      <c r="I356" s="34">
        <f t="shared" si="8"/>
        <v>3.9921722113502867E-2</v>
      </c>
    </row>
    <row r="357" spans="2:9" x14ac:dyDescent="0.35">
      <c r="B357" s="42">
        <v>36373</v>
      </c>
      <c r="C357" s="43">
        <v>1320.4</v>
      </c>
      <c r="D357" s="43">
        <v>1328.7</v>
      </c>
      <c r="E357" s="43">
        <v>1382.8</v>
      </c>
      <c r="F357" s="43">
        <v>1267.7</v>
      </c>
      <c r="H357" s="22">
        <v>-6.1999999999999998E-3</v>
      </c>
      <c r="I357" s="34">
        <f t="shared" si="8"/>
        <v>-4.5765901392547992E-2</v>
      </c>
    </row>
    <row r="358" spans="2:9" x14ac:dyDescent="0.35">
      <c r="B358" s="42">
        <v>36404</v>
      </c>
      <c r="C358" s="43">
        <v>1282.7</v>
      </c>
      <c r="D358" s="43">
        <v>1320.4</v>
      </c>
      <c r="E358" s="43">
        <v>1361.3</v>
      </c>
      <c r="F358" s="43">
        <v>1256.3</v>
      </c>
      <c r="H358" s="22">
        <v>-2.86E-2</v>
      </c>
      <c r="I358" s="34">
        <f t="shared" si="8"/>
        <v>-8.9926638794668445E-3</v>
      </c>
    </row>
    <row r="359" spans="2:9" x14ac:dyDescent="0.35">
      <c r="B359" s="42">
        <v>36434</v>
      </c>
      <c r="C359" s="43">
        <v>1362.9</v>
      </c>
      <c r="D359" s="43">
        <v>1282.7</v>
      </c>
      <c r="E359" s="43">
        <v>1373.2</v>
      </c>
      <c r="F359" s="43">
        <v>1233.7</v>
      </c>
      <c r="H359" s="22">
        <v>6.25E-2</v>
      </c>
      <c r="I359" s="34">
        <f t="shared" si="8"/>
        <v>-1.7989333757860271E-2</v>
      </c>
    </row>
    <row r="360" spans="2:9" x14ac:dyDescent="0.35">
      <c r="B360" s="42">
        <v>36465</v>
      </c>
      <c r="C360" s="43">
        <v>1388.9</v>
      </c>
      <c r="D360" s="43">
        <v>1362.9</v>
      </c>
      <c r="E360" s="43">
        <v>1425.3</v>
      </c>
      <c r="F360" s="43">
        <v>1346.4</v>
      </c>
      <c r="H360" s="22">
        <v>1.9099999999999999E-2</v>
      </c>
      <c r="I360" s="34">
        <f t="shared" si="8"/>
        <v>9.1351219907594983E-2</v>
      </c>
    </row>
    <row r="361" spans="2:9" x14ac:dyDescent="0.35">
      <c r="B361" s="42">
        <v>36495</v>
      </c>
      <c r="C361" s="43">
        <v>1469.2</v>
      </c>
      <c r="D361" s="43">
        <v>1388.9</v>
      </c>
      <c r="E361" s="43">
        <v>1473.1</v>
      </c>
      <c r="F361" s="43">
        <v>1387.5</v>
      </c>
      <c r="H361" s="22">
        <v>5.7799999999999997E-2</v>
      </c>
      <c r="I361" s="34">
        <f t="shared" si="8"/>
        <v>3.0525846702317283E-2</v>
      </c>
    </row>
    <row r="362" spans="2:9" x14ac:dyDescent="0.35">
      <c r="B362" s="42">
        <v>36526</v>
      </c>
      <c r="C362" s="43">
        <v>1394.5</v>
      </c>
      <c r="D362" s="43">
        <v>1469.2</v>
      </c>
      <c r="E362" s="43">
        <v>1478</v>
      </c>
      <c r="F362" s="43">
        <v>1350</v>
      </c>
      <c r="H362" s="22">
        <v>-5.0799999999999998E-2</v>
      </c>
      <c r="I362" s="34">
        <f t="shared" si="8"/>
        <v>-2.7027027027026973E-2</v>
      </c>
    </row>
    <row r="363" spans="2:9" x14ac:dyDescent="0.35">
      <c r="B363" s="42">
        <v>36557</v>
      </c>
      <c r="C363" s="43">
        <v>1366.4</v>
      </c>
      <c r="D363" s="43">
        <v>1394.5</v>
      </c>
      <c r="E363" s="43">
        <v>1444.4</v>
      </c>
      <c r="F363" s="43">
        <v>1325</v>
      </c>
      <c r="H363" s="22">
        <v>-2.0199999999999999E-2</v>
      </c>
      <c r="I363" s="34">
        <f t="shared" si="8"/>
        <v>-1.851851851851849E-2</v>
      </c>
    </row>
    <row r="364" spans="2:9" x14ac:dyDescent="0.35">
      <c r="B364" s="42">
        <v>36586</v>
      </c>
      <c r="C364" s="43">
        <v>1498.6</v>
      </c>
      <c r="D364" s="43">
        <v>1366.4</v>
      </c>
      <c r="E364" s="43">
        <v>1553.1</v>
      </c>
      <c r="F364" s="43">
        <v>1346.5</v>
      </c>
      <c r="H364" s="22">
        <v>9.6799999999999997E-2</v>
      </c>
      <c r="I364" s="34">
        <f t="shared" si="8"/>
        <v>1.6226415094339641E-2</v>
      </c>
    </row>
    <row r="365" spans="2:9" x14ac:dyDescent="0.35">
      <c r="B365" s="42">
        <v>36617</v>
      </c>
      <c r="C365" s="43">
        <v>1452.4</v>
      </c>
      <c r="D365" s="43">
        <v>1498.6</v>
      </c>
      <c r="E365" s="43">
        <v>1527.1</v>
      </c>
      <c r="F365" s="43">
        <v>1339.4</v>
      </c>
      <c r="H365" s="22">
        <v>-3.0800000000000001E-2</v>
      </c>
      <c r="I365" s="34">
        <f t="shared" si="8"/>
        <v>-5.2729298180467232E-3</v>
      </c>
    </row>
    <row r="366" spans="2:9" x14ac:dyDescent="0.35">
      <c r="B366" s="42">
        <v>36647</v>
      </c>
      <c r="C366" s="43">
        <v>1420.6</v>
      </c>
      <c r="D366" s="43">
        <v>1452.4</v>
      </c>
      <c r="E366" s="43">
        <v>1481.4</v>
      </c>
      <c r="F366" s="43">
        <v>1361.2</v>
      </c>
      <c r="H366" s="22">
        <v>-2.1899999999999999E-2</v>
      </c>
      <c r="I366" s="34">
        <f t="shared" si="8"/>
        <v>1.6275944452740054E-2</v>
      </c>
    </row>
    <row r="367" spans="2:9" x14ac:dyDescent="0.35">
      <c r="B367" s="42">
        <v>36678</v>
      </c>
      <c r="C367" s="43">
        <v>1454.6</v>
      </c>
      <c r="D367" s="43">
        <v>1420.6</v>
      </c>
      <c r="E367" s="43">
        <v>1489</v>
      </c>
      <c r="F367" s="43">
        <v>1420.6</v>
      </c>
      <c r="H367" s="22">
        <v>2.3900000000000001E-2</v>
      </c>
      <c r="I367" s="34">
        <f t="shared" si="8"/>
        <v>4.363796650014673E-2</v>
      </c>
    </row>
    <row r="368" spans="2:9" x14ac:dyDescent="0.35">
      <c r="B368" s="42">
        <v>36708</v>
      </c>
      <c r="C368" s="43">
        <v>1430.8</v>
      </c>
      <c r="D368" s="43">
        <v>1454.6</v>
      </c>
      <c r="E368" s="43">
        <v>1517.2</v>
      </c>
      <c r="F368" s="43">
        <v>1414.2</v>
      </c>
      <c r="H368" s="22">
        <v>-1.6400000000000001E-2</v>
      </c>
      <c r="I368" s="34">
        <f t="shared" si="8"/>
        <v>-4.5051386737997579E-3</v>
      </c>
    </row>
    <row r="369" spans="2:9" x14ac:dyDescent="0.35">
      <c r="B369" s="42">
        <v>36739</v>
      </c>
      <c r="C369" s="43">
        <v>1517.7</v>
      </c>
      <c r="D369" s="43">
        <v>1430.8</v>
      </c>
      <c r="E369" s="43">
        <v>1525.3</v>
      </c>
      <c r="F369" s="43">
        <v>1426</v>
      </c>
      <c r="H369" s="22">
        <v>6.0699999999999997E-2</v>
      </c>
      <c r="I369" s="34">
        <f t="shared" si="8"/>
        <v>8.3439400367699701E-3</v>
      </c>
    </row>
    <row r="370" spans="2:9" x14ac:dyDescent="0.35">
      <c r="B370" s="42">
        <v>36770</v>
      </c>
      <c r="C370" s="43">
        <v>1436.5</v>
      </c>
      <c r="D370" s="43">
        <v>1517.7</v>
      </c>
      <c r="E370" s="43">
        <v>1530</v>
      </c>
      <c r="F370" s="43">
        <v>1419.5</v>
      </c>
      <c r="H370" s="22">
        <v>-5.3499999999999999E-2</v>
      </c>
      <c r="I370" s="34">
        <f t="shared" si="8"/>
        <v>-4.5582047685834848E-3</v>
      </c>
    </row>
    <row r="371" spans="2:9" x14ac:dyDescent="0.35">
      <c r="B371" s="42">
        <v>36800</v>
      </c>
      <c r="C371" s="43">
        <v>1429.4</v>
      </c>
      <c r="D371" s="43">
        <v>1436.5</v>
      </c>
      <c r="E371" s="43">
        <v>1454.8</v>
      </c>
      <c r="F371" s="43">
        <v>1305.8</v>
      </c>
      <c r="H371" s="22">
        <v>-4.8999999999999998E-3</v>
      </c>
      <c r="I371" s="34">
        <f t="shared" si="8"/>
        <v>-8.0098626276858043E-2</v>
      </c>
    </row>
    <row r="372" spans="2:9" x14ac:dyDescent="0.35">
      <c r="B372" s="42">
        <v>36831</v>
      </c>
      <c r="C372" s="43">
        <v>1315</v>
      </c>
      <c r="D372" s="43">
        <v>1429.4</v>
      </c>
      <c r="E372" s="43">
        <v>1438.5</v>
      </c>
      <c r="F372" s="43">
        <v>1294.9000000000001</v>
      </c>
      <c r="H372" s="22">
        <v>-0.08</v>
      </c>
      <c r="I372" s="34">
        <f t="shared" si="8"/>
        <v>-8.3473732577729054E-3</v>
      </c>
    </row>
    <row r="373" spans="2:9" x14ac:dyDescent="0.35">
      <c r="B373" s="42">
        <v>36861</v>
      </c>
      <c r="C373" s="43">
        <v>1320.3</v>
      </c>
      <c r="D373" s="43">
        <v>1315</v>
      </c>
      <c r="E373" s="43">
        <v>1389</v>
      </c>
      <c r="F373" s="43">
        <v>1254.0999999999999</v>
      </c>
      <c r="H373" s="22">
        <v>4.0000000000000001E-3</v>
      </c>
      <c r="I373" s="34">
        <f t="shared" si="8"/>
        <v>-3.1508224573326249E-2</v>
      </c>
    </row>
    <row r="374" spans="2:9" x14ac:dyDescent="0.35">
      <c r="B374" s="42">
        <v>36892</v>
      </c>
      <c r="C374" s="43">
        <v>1366</v>
      </c>
      <c r="D374" s="43">
        <v>1320.3</v>
      </c>
      <c r="E374" s="43">
        <v>1383.4</v>
      </c>
      <c r="F374" s="43">
        <v>1274.5999999999999</v>
      </c>
      <c r="H374" s="22">
        <v>3.4599999999999999E-2</v>
      </c>
      <c r="I374" s="34">
        <f t="shared" si="8"/>
        <v>1.634638386093612E-2</v>
      </c>
    </row>
    <row r="375" spans="2:9" x14ac:dyDescent="0.35">
      <c r="B375" s="42">
        <v>36923</v>
      </c>
      <c r="C375" s="43">
        <v>1239.9000000000001</v>
      </c>
      <c r="D375" s="43">
        <v>1366</v>
      </c>
      <c r="E375" s="43">
        <v>1376.4</v>
      </c>
      <c r="F375" s="43">
        <v>1215.4000000000001</v>
      </c>
      <c r="H375" s="22">
        <v>-9.2299999999999993E-2</v>
      </c>
      <c r="I375" s="34">
        <f t="shared" si="8"/>
        <v>-4.6445943825513702E-2</v>
      </c>
    </row>
    <row r="376" spans="2:9" x14ac:dyDescent="0.35">
      <c r="B376" s="42">
        <v>36951</v>
      </c>
      <c r="C376" s="43">
        <v>1160.3</v>
      </c>
      <c r="D376" s="43">
        <v>1239.9000000000001</v>
      </c>
      <c r="E376" s="43">
        <v>1267.4000000000001</v>
      </c>
      <c r="F376" s="43">
        <v>1081.2</v>
      </c>
      <c r="H376" s="22">
        <v>-6.4199999999999993E-2</v>
      </c>
      <c r="I376" s="34">
        <f t="shared" si="8"/>
        <v>-0.11041632384400202</v>
      </c>
    </row>
    <row r="377" spans="2:9" x14ac:dyDescent="0.35">
      <c r="B377" s="42">
        <v>36982</v>
      </c>
      <c r="C377" s="43">
        <v>1249.5</v>
      </c>
      <c r="D377" s="43">
        <v>1160.3</v>
      </c>
      <c r="E377" s="43">
        <v>1269.3</v>
      </c>
      <c r="F377" s="43">
        <v>1092</v>
      </c>
      <c r="H377" s="22">
        <v>7.6899999999999996E-2</v>
      </c>
      <c r="I377" s="34">
        <f t="shared" si="8"/>
        <v>9.9889012208655981E-3</v>
      </c>
    </row>
    <row r="378" spans="2:9" x14ac:dyDescent="0.35">
      <c r="B378" s="42">
        <v>37012</v>
      </c>
      <c r="C378" s="43">
        <v>1255.8</v>
      </c>
      <c r="D378" s="43">
        <v>1249.5</v>
      </c>
      <c r="E378" s="43">
        <v>1315.9</v>
      </c>
      <c r="F378" s="43">
        <v>1232</v>
      </c>
      <c r="H378" s="22">
        <v>5.0000000000000001E-3</v>
      </c>
      <c r="I378" s="34">
        <f t="shared" si="8"/>
        <v>0.12820512820512819</v>
      </c>
    </row>
    <row r="379" spans="2:9" x14ac:dyDescent="0.35">
      <c r="B379" s="42">
        <v>37043</v>
      </c>
      <c r="C379" s="43">
        <v>1224.4000000000001</v>
      </c>
      <c r="D379" s="43">
        <v>1255.8</v>
      </c>
      <c r="E379" s="43">
        <v>1286.5999999999999</v>
      </c>
      <c r="F379" s="43">
        <v>1203</v>
      </c>
      <c r="H379" s="22">
        <v>-2.5000000000000001E-2</v>
      </c>
      <c r="I379" s="34">
        <f t="shared" si="8"/>
        <v>-2.3538961038961026E-2</v>
      </c>
    </row>
    <row r="380" spans="2:9" x14ac:dyDescent="0.35">
      <c r="B380" s="42">
        <v>37073</v>
      </c>
      <c r="C380" s="43">
        <v>1211.2</v>
      </c>
      <c r="D380" s="43">
        <v>1224.4000000000001</v>
      </c>
      <c r="E380" s="43">
        <v>1239.8</v>
      </c>
      <c r="F380" s="43">
        <v>1165.5</v>
      </c>
      <c r="H380" s="22">
        <v>-1.0800000000000001E-2</v>
      </c>
      <c r="I380" s="34">
        <f t="shared" si="8"/>
        <v>-3.117206982543641E-2</v>
      </c>
    </row>
    <row r="381" spans="2:9" x14ac:dyDescent="0.35">
      <c r="B381" s="42">
        <v>37104</v>
      </c>
      <c r="C381" s="43">
        <v>1133.5999999999999</v>
      </c>
      <c r="D381" s="43">
        <v>1211.2</v>
      </c>
      <c r="E381" s="43">
        <v>1226.3</v>
      </c>
      <c r="F381" s="43">
        <v>1124.9000000000001</v>
      </c>
      <c r="H381" s="22">
        <v>-6.4100000000000004E-2</v>
      </c>
      <c r="I381" s="34">
        <f t="shared" si="8"/>
        <v>-3.4834834834834738E-2</v>
      </c>
    </row>
    <row r="382" spans="2:9" x14ac:dyDescent="0.35">
      <c r="B382" s="42">
        <v>37135</v>
      </c>
      <c r="C382" s="43">
        <v>1040.9000000000001</v>
      </c>
      <c r="D382" s="43">
        <v>1133.5999999999999</v>
      </c>
      <c r="E382" s="43">
        <v>1155.4000000000001</v>
      </c>
      <c r="F382" s="5">
        <v>944.8</v>
      </c>
      <c r="H382" s="22">
        <v>-8.1799999999999998E-2</v>
      </c>
      <c r="I382" s="34">
        <f t="shared" si="8"/>
        <v>-0.16010312027735807</v>
      </c>
    </row>
    <row r="383" spans="2:9" x14ac:dyDescent="0.35">
      <c r="B383" s="42">
        <v>37165</v>
      </c>
      <c r="C383" s="43">
        <v>1059.8</v>
      </c>
      <c r="D383" s="43">
        <v>1037.9000000000001</v>
      </c>
      <c r="E383" s="43">
        <v>1110.5999999999999</v>
      </c>
      <c r="F383" s="43">
        <v>1026.8</v>
      </c>
      <c r="H383" s="22">
        <v>1.8200000000000001E-2</v>
      </c>
      <c r="I383" s="34">
        <f t="shared" si="8"/>
        <v>8.6790855207451223E-2</v>
      </c>
    </row>
    <row r="384" spans="2:9" x14ac:dyDescent="0.35">
      <c r="B384" s="42">
        <v>37196</v>
      </c>
      <c r="C384" s="43">
        <v>1139.5</v>
      </c>
      <c r="D384" s="43">
        <v>1063.0999999999999</v>
      </c>
      <c r="E384" s="43">
        <v>1163.4000000000001</v>
      </c>
      <c r="F384" s="43">
        <v>1054.3</v>
      </c>
      <c r="H384" s="22">
        <v>7.5200000000000003E-2</v>
      </c>
      <c r="I384" s="34">
        <f t="shared" si="8"/>
        <v>2.6782236073237264E-2</v>
      </c>
    </row>
    <row r="385" spans="2:9" x14ac:dyDescent="0.35">
      <c r="B385" s="42">
        <v>37226</v>
      </c>
      <c r="C385" s="43">
        <v>1148.0999999999999</v>
      </c>
      <c r="D385" s="43">
        <v>1139.5</v>
      </c>
      <c r="E385" s="43">
        <v>1173.5999999999999</v>
      </c>
      <c r="F385" s="43">
        <v>1114.5</v>
      </c>
      <c r="H385" s="22">
        <v>7.4999999999999997E-3</v>
      </c>
      <c r="I385" s="34">
        <f t="shared" si="8"/>
        <v>5.7099497296784651E-2</v>
      </c>
    </row>
    <row r="386" spans="2:9" x14ac:dyDescent="0.35">
      <c r="B386" s="42">
        <v>37257</v>
      </c>
      <c r="C386" s="43">
        <v>1130.2</v>
      </c>
      <c r="D386" s="43">
        <v>1149</v>
      </c>
      <c r="E386" s="43">
        <v>1177</v>
      </c>
      <c r="F386" s="43">
        <v>1081.7</v>
      </c>
      <c r="H386" s="22">
        <v>-1.5599999999999999E-2</v>
      </c>
      <c r="I386" s="34">
        <f t="shared" si="8"/>
        <v>-2.9430237774786816E-2</v>
      </c>
    </row>
    <row r="387" spans="2:9" x14ac:dyDescent="0.35">
      <c r="B387" s="42">
        <v>37288</v>
      </c>
      <c r="C387" s="43">
        <v>1106.7</v>
      </c>
      <c r="D387" s="43">
        <v>1127.4000000000001</v>
      </c>
      <c r="E387" s="43">
        <v>1130.2</v>
      </c>
      <c r="F387" s="43">
        <v>1074.4000000000001</v>
      </c>
      <c r="H387" s="22">
        <v>-2.0799999999999999E-2</v>
      </c>
      <c r="I387" s="34">
        <f t="shared" si="8"/>
        <v>-6.7486364056577042E-3</v>
      </c>
    </row>
    <row r="388" spans="2:9" x14ac:dyDescent="0.35">
      <c r="B388" s="42">
        <v>37316</v>
      </c>
      <c r="C388" s="43">
        <v>1147.4000000000001</v>
      </c>
      <c r="D388" s="43">
        <v>1108.7</v>
      </c>
      <c r="E388" s="43">
        <v>1173.9000000000001</v>
      </c>
      <c r="F388" s="43">
        <v>1108.7</v>
      </c>
      <c r="H388" s="22">
        <v>3.6799999999999999E-2</v>
      </c>
      <c r="I388" s="34">
        <f t="shared" si="8"/>
        <v>3.1924795234549386E-2</v>
      </c>
    </row>
    <row r="389" spans="2:9" x14ac:dyDescent="0.35">
      <c r="B389" s="42">
        <v>37347</v>
      </c>
      <c r="C389" s="43">
        <v>1076.9000000000001</v>
      </c>
      <c r="D389" s="43">
        <v>1146</v>
      </c>
      <c r="E389" s="43">
        <v>1147.8</v>
      </c>
      <c r="F389" s="43">
        <v>1063.5</v>
      </c>
      <c r="H389" s="22">
        <v>-6.1400000000000003E-2</v>
      </c>
      <c r="I389" s="34">
        <f t="shared" ref="I389:I452" si="9">F389/F388-1</f>
        <v>-4.0768467574637035E-2</v>
      </c>
    </row>
    <row r="390" spans="2:9" x14ac:dyDescent="0.35">
      <c r="B390" s="42">
        <v>37377</v>
      </c>
      <c r="C390" s="43">
        <v>1067.0999999999999</v>
      </c>
      <c r="D390" s="43">
        <v>1076.9000000000001</v>
      </c>
      <c r="E390" s="43">
        <v>1106.5999999999999</v>
      </c>
      <c r="F390" s="43">
        <v>1049</v>
      </c>
      <c r="H390" s="22">
        <v>-9.1000000000000004E-3</v>
      </c>
      <c r="I390" s="34">
        <f t="shared" si="9"/>
        <v>-1.3634226610249156E-2</v>
      </c>
    </row>
    <row r="391" spans="2:9" x14ac:dyDescent="0.35">
      <c r="B391" s="42">
        <v>37408</v>
      </c>
      <c r="C391" s="5">
        <v>989.8</v>
      </c>
      <c r="D391" s="43">
        <v>1067.0999999999999</v>
      </c>
      <c r="E391" s="43">
        <v>1070.7</v>
      </c>
      <c r="F391" s="5">
        <v>952.9</v>
      </c>
      <c r="H391" s="22">
        <v>-7.2400000000000006E-2</v>
      </c>
      <c r="I391" s="34">
        <f t="shared" si="9"/>
        <v>-9.1611058150619651E-2</v>
      </c>
    </row>
    <row r="392" spans="2:9" x14ac:dyDescent="0.35">
      <c r="B392" s="42">
        <v>37438</v>
      </c>
      <c r="C392" s="5">
        <v>911.6</v>
      </c>
      <c r="D392" s="5">
        <v>989.8</v>
      </c>
      <c r="E392" s="5">
        <v>994.5</v>
      </c>
      <c r="F392" s="5">
        <v>775.7</v>
      </c>
      <c r="H392" s="22">
        <v>-7.9000000000000001E-2</v>
      </c>
      <c r="I392" s="34">
        <f t="shared" si="9"/>
        <v>-0.18595865253436872</v>
      </c>
    </row>
    <row r="393" spans="2:9" x14ac:dyDescent="0.35">
      <c r="B393" s="42">
        <v>37469</v>
      </c>
      <c r="C393" s="5">
        <v>916.1</v>
      </c>
      <c r="D393" s="5">
        <v>911.6</v>
      </c>
      <c r="E393" s="5">
        <v>965</v>
      </c>
      <c r="F393" s="5">
        <v>833.4</v>
      </c>
      <c r="H393" s="22">
        <v>4.8999999999999998E-3</v>
      </c>
      <c r="I393" s="34">
        <f t="shared" si="9"/>
        <v>7.4384426969189121E-2</v>
      </c>
    </row>
    <row r="394" spans="2:9" x14ac:dyDescent="0.35">
      <c r="B394" s="42">
        <v>37500</v>
      </c>
      <c r="C394" s="5">
        <v>815.3</v>
      </c>
      <c r="D394" s="5">
        <v>916.1</v>
      </c>
      <c r="E394" s="5">
        <v>924</v>
      </c>
      <c r="F394" s="5">
        <v>800.2</v>
      </c>
      <c r="H394" s="22">
        <v>-0.11</v>
      </c>
      <c r="I394" s="34">
        <f t="shared" si="9"/>
        <v>-3.9836813054955567E-2</v>
      </c>
    </row>
    <row r="395" spans="2:9" x14ac:dyDescent="0.35">
      <c r="B395" s="42">
        <v>37530</v>
      </c>
      <c r="C395" s="5">
        <v>885.8</v>
      </c>
      <c r="D395" s="5">
        <v>815.3</v>
      </c>
      <c r="E395" s="5">
        <v>907.4</v>
      </c>
      <c r="F395" s="5">
        <v>768.6</v>
      </c>
      <c r="H395" s="22">
        <v>8.6499999999999994E-2</v>
      </c>
      <c r="I395" s="34">
        <f t="shared" si="9"/>
        <v>-3.9490127468132963E-2</v>
      </c>
    </row>
    <row r="396" spans="2:9" x14ac:dyDescent="0.35">
      <c r="B396" s="42">
        <v>37561</v>
      </c>
      <c r="C396" s="5">
        <v>936.3</v>
      </c>
      <c r="D396" s="5">
        <v>885.8</v>
      </c>
      <c r="E396" s="5">
        <v>941.8</v>
      </c>
      <c r="F396" s="5">
        <v>872</v>
      </c>
      <c r="H396" s="22">
        <v>5.7000000000000002E-2</v>
      </c>
      <c r="I396" s="34">
        <f t="shared" si="9"/>
        <v>0.13453031485818379</v>
      </c>
    </row>
    <row r="397" spans="2:9" x14ac:dyDescent="0.35">
      <c r="B397" s="42">
        <v>37591</v>
      </c>
      <c r="C397" s="5">
        <v>879.8</v>
      </c>
      <c r="D397" s="5">
        <v>936.3</v>
      </c>
      <c r="E397" s="5">
        <v>954.3</v>
      </c>
      <c r="F397" s="5">
        <v>869.5</v>
      </c>
      <c r="H397" s="22">
        <v>-6.0299999999999999E-2</v>
      </c>
      <c r="I397" s="34">
        <f t="shared" si="9"/>
        <v>-2.8669724770642446E-3</v>
      </c>
    </row>
    <row r="398" spans="2:9" x14ac:dyDescent="0.35">
      <c r="B398" s="42">
        <v>37622</v>
      </c>
      <c r="C398" s="5">
        <v>855.7</v>
      </c>
      <c r="D398" s="5">
        <v>879.8</v>
      </c>
      <c r="E398" s="5">
        <v>935</v>
      </c>
      <c r="F398" s="5">
        <v>840.3</v>
      </c>
      <c r="H398" s="22">
        <v>-2.7400000000000001E-2</v>
      </c>
      <c r="I398" s="34">
        <f t="shared" si="9"/>
        <v>-3.3582518688901719E-2</v>
      </c>
    </row>
    <row r="399" spans="2:9" x14ac:dyDescent="0.35">
      <c r="B399" s="42">
        <v>37653</v>
      </c>
      <c r="C399" s="5">
        <v>841.1</v>
      </c>
      <c r="D399" s="5">
        <v>855.7</v>
      </c>
      <c r="E399" s="5">
        <v>864.6</v>
      </c>
      <c r="F399" s="5">
        <v>806.3</v>
      </c>
      <c r="H399" s="22">
        <v>-1.7100000000000001E-2</v>
      </c>
      <c r="I399" s="34">
        <f t="shared" si="9"/>
        <v>-4.0461739854813716E-2</v>
      </c>
    </row>
    <row r="400" spans="2:9" x14ac:dyDescent="0.35">
      <c r="B400" s="42">
        <v>37681</v>
      </c>
      <c r="C400" s="5">
        <v>848.2</v>
      </c>
      <c r="D400" s="5">
        <v>841.1</v>
      </c>
      <c r="E400" s="5">
        <v>895.9</v>
      </c>
      <c r="F400" s="5">
        <v>788.9</v>
      </c>
      <c r="H400" s="22">
        <v>8.3999999999999995E-3</v>
      </c>
      <c r="I400" s="34">
        <f t="shared" si="9"/>
        <v>-2.1580057050725521E-2</v>
      </c>
    </row>
    <row r="401" spans="2:9" x14ac:dyDescent="0.35">
      <c r="B401" s="42">
        <v>37712</v>
      </c>
      <c r="C401" s="5">
        <v>916.9</v>
      </c>
      <c r="D401" s="5">
        <v>848.2</v>
      </c>
      <c r="E401" s="5">
        <v>924.2</v>
      </c>
      <c r="F401" s="5">
        <v>847.9</v>
      </c>
      <c r="H401" s="22">
        <v>8.1000000000000003E-2</v>
      </c>
      <c r="I401" s="34">
        <f t="shared" si="9"/>
        <v>7.478767904677408E-2</v>
      </c>
    </row>
    <row r="402" spans="2:9" x14ac:dyDescent="0.35">
      <c r="B402" s="42">
        <v>37742</v>
      </c>
      <c r="C402" s="5">
        <v>963.6</v>
      </c>
      <c r="D402" s="5">
        <v>916.9</v>
      </c>
      <c r="E402" s="5">
        <v>965.4</v>
      </c>
      <c r="F402" s="5">
        <v>902.8</v>
      </c>
      <c r="H402" s="22">
        <v>5.0900000000000001E-2</v>
      </c>
      <c r="I402" s="34">
        <f t="shared" si="9"/>
        <v>6.4748201438848962E-2</v>
      </c>
    </row>
    <row r="403" spans="2:9" x14ac:dyDescent="0.35">
      <c r="B403" s="42">
        <v>37773</v>
      </c>
      <c r="C403" s="5">
        <v>974.5</v>
      </c>
      <c r="D403" s="5">
        <v>963.6</v>
      </c>
      <c r="E403" s="43">
        <v>1015.3</v>
      </c>
      <c r="F403" s="5">
        <v>963.6</v>
      </c>
      <c r="H403" s="22">
        <v>1.1299999999999999E-2</v>
      </c>
      <c r="I403" s="34">
        <f t="shared" si="9"/>
        <v>6.7346034559149448E-2</v>
      </c>
    </row>
    <row r="404" spans="2:9" x14ac:dyDescent="0.35">
      <c r="B404" s="42">
        <v>37803</v>
      </c>
      <c r="C404" s="5">
        <v>990.3</v>
      </c>
      <c r="D404" s="5">
        <v>974.5</v>
      </c>
      <c r="E404" s="43">
        <v>1015.4</v>
      </c>
      <c r="F404" s="5">
        <v>962.1</v>
      </c>
      <c r="H404" s="22">
        <v>1.6199999999999999E-2</v>
      </c>
      <c r="I404" s="34">
        <f t="shared" si="9"/>
        <v>-1.5566625155666314E-3</v>
      </c>
    </row>
    <row r="405" spans="2:9" x14ac:dyDescent="0.35">
      <c r="B405" s="42">
        <v>37834</v>
      </c>
      <c r="C405" s="43">
        <v>1008</v>
      </c>
      <c r="D405" s="5">
        <v>990.3</v>
      </c>
      <c r="E405" s="43">
        <v>1011</v>
      </c>
      <c r="F405" s="5">
        <v>960.8</v>
      </c>
      <c r="H405" s="22">
        <v>1.7899999999999999E-2</v>
      </c>
      <c r="I405" s="34">
        <f t="shared" si="9"/>
        <v>-1.3512108928386279E-3</v>
      </c>
    </row>
    <row r="406" spans="2:9" x14ac:dyDescent="0.35">
      <c r="B406" s="42">
        <v>37865</v>
      </c>
      <c r="C406" s="5">
        <v>996</v>
      </c>
      <c r="D406" s="43">
        <v>1008</v>
      </c>
      <c r="E406" s="43">
        <v>1040.3</v>
      </c>
      <c r="F406" s="5">
        <v>990.4</v>
      </c>
      <c r="H406" s="22">
        <v>-1.1900000000000001E-2</v>
      </c>
      <c r="I406" s="34">
        <f t="shared" si="9"/>
        <v>3.0807660283097338E-2</v>
      </c>
    </row>
    <row r="407" spans="2:9" x14ac:dyDescent="0.35">
      <c r="B407" s="42">
        <v>37895</v>
      </c>
      <c r="C407" s="43">
        <v>1050.7</v>
      </c>
      <c r="D407" s="5">
        <v>996</v>
      </c>
      <c r="E407" s="43">
        <v>1053.8</v>
      </c>
      <c r="F407" s="5">
        <v>996</v>
      </c>
      <c r="H407" s="22">
        <v>5.4899999999999997E-2</v>
      </c>
      <c r="I407" s="34">
        <f t="shared" si="9"/>
        <v>5.6542810985460434E-3</v>
      </c>
    </row>
    <row r="408" spans="2:9" x14ac:dyDescent="0.35">
      <c r="B408" s="42">
        <v>37926</v>
      </c>
      <c r="C408" s="43">
        <v>1058.2</v>
      </c>
      <c r="D408" s="43">
        <v>1050.7</v>
      </c>
      <c r="E408" s="43">
        <v>1063.7</v>
      </c>
      <c r="F408" s="43">
        <v>1031.2</v>
      </c>
      <c r="H408" s="22">
        <v>7.1000000000000004E-3</v>
      </c>
      <c r="I408" s="34">
        <f t="shared" si="9"/>
        <v>3.5341365461847518E-2</v>
      </c>
    </row>
    <row r="409" spans="2:9" x14ac:dyDescent="0.35">
      <c r="B409" s="42">
        <v>37956</v>
      </c>
      <c r="C409" s="43">
        <v>1111.9000000000001</v>
      </c>
      <c r="D409" s="43">
        <v>1058.2</v>
      </c>
      <c r="E409" s="43">
        <v>1112.5999999999999</v>
      </c>
      <c r="F409" s="43">
        <v>1053.4000000000001</v>
      </c>
      <c r="H409" s="22">
        <v>5.0700000000000002E-2</v>
      </c>
      <c r="I409" s="34">
        <f t="shared" si="9"/>
        <v>2.1528316524437541E-2</v>
      </c>
    </row>
    <row r="410" spans="2:9" x14ac:dyDescent="0.35">
      <c r="B410" s="42">
        <v>37987</v>
      </c>
      <c r="C410" s="43">
        <v>1131.0999999999999</v>
      </c>
      <c r="D410" s="43">
        <v>1111.9000000000001</v>
      </c>
      <c r="E410" s="43">
        <v>1155.4000000000001</v>
      </c>
      <c r="F410" s="43">
        <v>1105.0999999999999</v>
      </c>
      <c r="H410" s="22">
        <v>1.7299999999999999E-2</v>
      </c>
      <c r="I410" s="34">
        <f t="shared" si="9"/>
        <v>4.90791722042907E-2</v>
      </c>
    </row>
    <row r="411" spans="2:9" x14ac:dyDescent="0.35">
      <c r="B411" s="42">
        <v>38018</v>
      </c>
      <c r="C411" s="43">
        <v>1144.9000000000001</v>
      </c>
      <c r="D411" s="43">
        <v>1131.0999999999999</v>
      </c>
      <c r="E411" s="43">
        <v>1159</v>
      </c>
      <c r="F411" s="43">
        <v>1124.4000000000001</v>
      </c>
      <c r="H411" s="22">
        <v>1.2200000000000001E-2</v>
      </c>
      <c r="I411" s="34">
        <f t="shared" si="9"/>
        <v>1.7464482852230789E-2</v>
      </c>
    </row>
    <row r="412" spans="2:9" x14ac:dyDescent="0.35">
      <c r="B412" s="42">
        <v>38047</v>
      </c>
      <c r="C412" s="43">
        <v>1126.2</v>
      </c>
      <c r="D412" s="43">
        <v>1144.9000000000001</v>
      </c>
      <c r="E412" s="43">
        <v>1163.2</v>
      </c>
      <c r="F412" s="43">
        <v>1087.0999999999999</v>
      </c>
      <c r="H412" s="22">
        <v>-1.6299999999999999E-2</v>
      </c>
      <c r="I412" s="34">
        <f t="shared" si="9"/>
        <v>-3.3173247954464746E-2</v>
      </c>
    </row>
    <row r="413" spans="2:9" x14ac:dyDescent="0.35">
      <c r="B413" s="42">
        <v>38078</v>
      </c>
      <c r="C413" s="43">
        <v>1107.3</v>
      </c>
      <c r="D413" s="43">
        <v>1126.2</v>
      </c>
      <c r="E413" s="43">
        <v>1150.5999999999999</v>
      </c>
      <c r="F413" s="43">
        <v>1107.2</v>
      </c>
      <c r="H413" s="22">
        <v>-1.6799999999999999E-2</v>
      </c>
      <c r="I413" s="34">
        <f t="shared" si="9"/>
        <v>1.8489559378162213E-2</v>
      </c>
    </row>
    <row r="414" spans="2:9" x14ac:dyDescent="0.35">
      <c r="B414" s="42">
        <v>38108</v>
      </c>
      <c r="C414" s="43">
        <v>1120.7</v>
      </c>
      <c r="D414" s="43">
        <v>1107.3</v>
      </c>
      <c r="E414" s="43">
        <v>1127.7</v>
      </c>
      <c r="F414" s="43">
        <v>1076.3</v>
      </c>
      <c r="H414" s="22">
        <v>1.21E-2</v>
      </c>
      <c r="I414" s="34">
        <f t="shared" si="9"/>
        <v>-2.7908236994219737E-2</v>
      </c>
    </row>
    <row r="415" spans="2:9" x14ac:dyDescent="0.35">
      <c r="B415" s="42">
        <v>38139</v>
      </c>
      <c r="C415" s="43">
        <v>1140.8</v>
      </c>
      <c r="D415" s="43">
        <v>1120.7</v>
      </c>
      <c r="E415" s="43">
        <v>1146.3</v>
      </c>
      <c r="F415" s="43">
        <v>1113.3</v>
      </c>
      <c r="H415" s="22">
        <v>1.7899999999999999E-2</v>
      </c>
      <c r="I415" s="34">
        <f t="shared" si="9"/>
        <v>3.437703242590362E-2</v>
      </c>
    </row>
    <row r="416" spans="2:9" x14ac:dyDescent="0.35">
      <c r="B416" s="42">
        <v>38169</v>
      </c>
      <c r="C416" s="43">
        <v>1101.7</v>
      </c>
      <c r="D416" s="43">
        <v>1140.8</v>
      </c>
      <c r="E416" s="43">
        <v>1140.8</v>
      </c>
      <c r="F416" s="43">
        <v>1078.8</v>
      </c>
      <c r="H416" s="22">
        <v>-3.4299999999999997E-2</v>
      </c>
      <c r="I416" s="34">
        <f t="shared" si="9"/>
        <v>-3.0988951765022921E-2</v>
      </c>
    </row>
    <row r="417" spans="2:9" x14ac:dyDescent="0.35">
      <c r="B417" s="42">
        <v>38200</v>
      </c>
      <c r="C417" s="43">
        <v>1104.2</v>
      </c>
      <c r="D417" s="43">
        <v>1101.7</v>
      </c>
      <c r="E417" s="43">
        <v>1109.7</v>
      </c>
      <c r="F417" s="43">
        <v>1060.7</v>
      </c>
      <c r="H417" s="22">
        <v>2.3E-3</v>
      </c>
      <c r="I417" s="34">
        <f t="shared" si="9"/>
        <v>-1.677790137189461E-2</v>
      </c>
    </row>
    <row r="418" spans="2:9" x14ac:dyDescent="0.35">
      <c r="B418" s="42">
        <v>38231</v>
      </c>
      <c r="C418" s="43">
        <v>1114.5999999999999</v>
      </c>
      <c r="D418" s="43">
        <v>1104.2</v>
      </c>
      <c r="E418" s="43">
        <v>1131.5</v>
      </c>
      <c r="F418" s="43">
        <v>1099.0999999999999</v>
      </c>
      <c r="H418" s="22">
        <v>9.4000000000000004E-3</v>
      </c>
      <c r="I418" s="34">
        <f t="shared" si="9"/>
        <v>3.6202507777882476E-2</v>
      </c>
    </row>
    <row r="419" spans="2:9" x14ac:dyDescent="0.35">
      <c r="B419" s="42">
        <v>38261</v>
      </c>
      <c r="C419" s="43">
        <v>1130.2</v>
      </c>
      <c r="D419" s="43">
        <v>1114.5999999999999</v>
      </c>
      <c r="E419" s="43">
        <v>1142</v>
      </c>
      <c r="F419" s="43">
        <v>1090.2</v>
      </c>
      <c r="H419" s="22">
        <v>1.4E-2</v>
      </c>
      <c r="I419" s="34">
        <f t="shared" si="9"/>
        <v>-8.0975343462832416E-3</v>
      </c>
    </row>
    <row r="420" spans="2:9" x14ac:dyDescent="0.35">
      <c r="B420" s="42">
        <v>38292</v>
      </c>
      <c r="C420" s="43">
        <v>1173.8</v>
      </c>
      <c r="D420" s="43">
        <v>1130.2</v>
      </c>
      <c r="E420" s="43">
        <v>1188.5</v>
      </c>
      <c r="F420" s="43">
        <v>1127.5</v>
      </c>
      <c r="H420" s="22">
        <v>3.8600000000000002E-2</v>
      </c>
      <c r="I420" s="34">
        <f t="shared" si="9"/>
        <v>3.4213905705375192E-2</v>
      </c>
    </row>
    <row r="421" spans="2:9" x14ac:dyDescent="0.35">
      <c r="B421" s="42">
        <v>38322</v>
      </c>
      <c r="C421" s="43">
        <v>1211.9000000000001</v>
      </c>
      <c r="D421" s="43">
        <v>1173.8</v>
      </c>
      <c r="E421" s="43">
        <v>1217.3</v>
      </c>
      <c r="F421" s="43">
        <v>1173.8</v>
      </c>
      <c r="H421" s="22">
        <v>3.2500000000000001E-2</v>
      </c>
      <c r="I421" s="34">
        <f t="shared" si="9"/>
        <v>4.1064301552106386E-2</v>
      </c>
    </row>
    <row r="422" spans="2:9" x14ac:dyDescent="0.35">
      <c r="B422" s="42">
        <v>38353</v>
      </c>
      <c r="C422" s="43">
        <v>1181.3</v>
      </c>
      <c r="D422" s="43">
        <v>1211.9000000000001</v>
      </c>
      <c r="E422" s="43">
        <v>1217.9000000000001</v>
      </c>
      <c r="F422" s="43">
        <v>1163.8</v>
      </c>
      <c r="H422" s="22">
        <v>-2.52E-2</v>
      </c>
      <c r="I422" s="34">
        <f t="shared" si="9"/>
        <v>-8.519338899301454E-3</v>
      </c>
    </row>
    <row r="423" spans="2:9" x14ac:dyDescent="0.35">
      <c r="B423" s="42">
        <v>38384</v>
      </c>
      <c r="C423" s="43">
        <v>1203.5999999999999</v>
      </c>
      <c r="D423" s="43">
        <v>1181.3</v>
      </c>
      <c r="E423" s="43">
        <v>1212.4000000000001</v>
      </c>
      <c r="F423" s="43">
        <v>1181</v>
      </c>
      <c r="H423" s="22">
        <v>1.89E-2</v>
      </c>
      <c r="I423" s="34">
        <f t="shared" si="9"/>
        <v>1.4779171678982683E-2</v>
      </c>
    </row>
    <row r="424" spans="2:9" x14ac:dyDescent="0.35">
      <c r="B424" s="42">
        <v>38412</v>
      </c>
      <c r="C424" s="43">
        <v>1180.5999999999999</v>
      </c>
      <c r="D424" s="43">
        <v>1203.5999999999999</v>
      </c>
      <c r="E424" s="43">
        <v>1229.0999999999999</v>
      </c>
      <c r="F424" s="43">
        <v>1163.7</v>
      </c>
      <c r="H424" s="22">
        <v>-1.9099999999999999E-2</v>
      </c>
      <c r="I424" s="34">
        <f t="shared" si="9"/>
        <v>-1.4648602878916117E-2</v>
      </c>
    </row>
    <row r="425" spans="2:9" x14ac:dyDescent="0.35">
      <c r="B425" s="42">
        <v>38443</v>
      </c>
      <c r="C425" s="43">
        <v>1156.8</v>
      </c>
      <c r="D425" s="43">
        <v>1180.5999999999999</v>
      </c>
      <c r="E425" s="43">
        <v>1191.9000000000001</v>
      </c>
      <c r="F425" s="43">
        <v>1136.2</v>
      </c>
      <c r="H425" s="22">
        <v>-2.0199999999999999E-2</v>
      </c>
      <c r="I425" s="34">
        <f t="shared" si="9"/>
        <v>-2.3631520151241703E-2</v>
      </c>
    </row>
    <row r="426" spans="2:9" x14ac:dyDescent="0.35">
      <c r="B426" s="42">
        <v>38473</v>
      </c>
      <c r="C426" s="43">
        <v>1191.5</v>
      </c>
      <c r="D426" s="43">
        <v>1156.8</v>
      </c>
      <c r="E426" s="43">
        <v>1199.5999999999999</v>
      </c>
      <c r="F426" s="43">
        <v>1146.2</v>
      </c>
      <c r="H426" s="22">
        <v>0.03</v>
      </c>
      <c r="I426" s="34">
        <f t="shared" si="9"/>
        <v>8.8012673825030863E-3</v>
      </c>
    </row>
    <row r="427" spans="2:9" x14ac:dyDescent="0.35">
      <c r="B427" s="42">
        <v>38504</v>
      </c>
      <c r="C427" s="43">
        <v>1191.3</v>
      </c>
      <c r="D427" s="43">
        <v>1191.5</v>
      </c>
      <c r="E427" s="43">
        <v>1219.5999999999999</v>
      </c>
      <c r="F427" s="43">
        <v>1188.3</v>
      </c>
      <c r="H427" s="22">
        <v>-2.0000000000000001E-4</v>
      </c>
      <c r="I427" s="34">
        <f t="shared" si="9"/>
        <v>3.6730064561158571E-2</v>
      </c>
    </row>
    <row r="428" spans="2:9" x14ac:dyDescent="0.35">
      <c r="B428" s="42">
        <v>38534</v>
      </c>
      <c r="C428" s="43">
        <v>1234.2</v>
      </c>
      <c r="D428" s="43">
        <v>1191.3</v>
      </c>
      <c r="E428" s="43">
        <v>1245.2</v>
      </c>
      <c r="F428" s="43">
        <v>1183.5</v>
      </c>
      <c r="H428" s="22">
        <v>3.5999999999999997E-2</v>
      </c>
      <c r="I428" s="34">
        <f t="shared" si="9"/>
        <v>-4.0393839939408815E-3</v>
      </c>
    </row>
    <row r="429" spans="2:9" x14ac:dyDescent="0.35">
      <c r="B429" s="42">
        <v>38565</v>
      </c>
      <c r="C429" s="43">
        <v>1220.3</v>
      </c>
      <c r="D429" s="43">
        <v>1234.2</v>
      </c>
      <c r="E429" s="43">
        <v>1245.9000000000001</v>
      </c>
      <c r="F429" s="43">
        <v>1201.0999999999999</v>
      </c>
      <c r="H429" s="22">
        <v>-1.1299999999999999E-2</v>
      </c>
      <c r="I429" s="34">
        <f t="shared" si="9"/>
        <v>1.4871144909167633E-2</v>
      </c>
    </row>
    <row r="430" spans="2:9" x14ac:dyDescent="0.35">
      <c r="B430" s="42">
        <v>38596</v>
      </c>
      <c r="C430" s="43">
        <v>1228.8</v>
      </c>
      <c r="D430" s="43">
        <v>1220.3</v>
      </c>
      <c r="E430" s="43">
        <v>1243.0999999999999</v>
      </c>
      <c r="F430" s="43">
        <v>1205.3</v>
      </c>
      <c r="H430" s="22">
        <v>7.0000000000000001E-3</v>
      </c>
      <c r="I430" s="34">
        <f t="shared" si="9"/>
        <v>3.4967946049455634E-3</v>
      </c>
    </row>
    <row r="431" spans="2:9" x14ac:dyDescent="0.35">
      <c r="B431" s="42">
        <v>38626</v>
      </c>
      <c r="C431" s="43">
        <v>1207</v>
      </c>
      <c r="D431" s="43">
        <v>1228.8</v>
      </c>
      <c r="E431" s="43">
        <v>1233.3</v>
      </c>
      <c r="F431" s="43">
        <v>1168.2</v>
      </c>
      <c r="H431" s="22">
        <v>-1.77E-2</v>
      </c>
      <c r="I431" s="34">
        <f t="shared" si="9"/>
        <v>-3.0780718493321091E-2</v>
      </c>
    </row>
    <row r="432" spans="2:9" x14ac:dyDescent="0.35">
      <c r="B432" s="42">
        <v>38657</v>
      </c>
      <c r="C432" s="43">
        <v>1249.5</v>
      </c>
      <c r="D432" s="43">
        <v>1207</v>
      </c>
      <c r="E432" s="43">
        <v>1270.5999999999999</v>
      </c>
      <c r="F432" s="43">
        <v>1201.0999999999999</v>
      </c>
      <c r="H432" s="22">
        <v>3.5200000000000002E-2</v>
      </c>
      <c r="I432" s="34">
        <f t="shared" si="9"/>
        <v>2.8162985790104234E-2</v>
      </c>
    </row>
    <row r="433" spans="2:9" x14ac:dyDescent="0.35">
      <c r="B433" s="42">
        <v>38687</v>
      </c>
      <c r="C433" s="43">
        <v>1248.3</v>
      </c>
      <c r="D433" s="43">
        <v>1249.5</v>
      </c>
      <c r="E433" s="43">
        <v>1275.8</v>
      </c>
      <c r="F433" s="43">
        <v>1246.5999999999999</v>
      </c>
      <c r="H433" s="22">
        <v>-1E-3</v>
      </c>
      <c r="I433" s="34">
        <f t="shared" si="9"/>
        <v>3.7881941553575826E-2</v>
      </c>
    </row>
    <row r="434" spans="2:9" x14ac:dyDescent="0.35">
      <c r="B434" s="42">
        <v>38718</v>
      </c>
      <c r="C434" s="43">
        <v>1280.0999999999999</v>
      </c>
      <c r="D434" s="43">
        <v>1248.3</v>
      </c>
      <c r="E434" s="43">
        <v>1294.9000000000001</v>
      </c>
      <c r="F434" s="43">
        <v>1245.7</v>
      </c>
      <c r="H434" s="22">
        <v>2.5499999999999998E-2</v>
      </c>
      <c r="I434" s="34">
        <f t="shared" si="9"/>
        <v>-7.2196374137645236E-4</v>
      </c>
    </row>
    <row r="435" spans="2:9" x14ac:dyDescent="0.35">
      <c r="B435" s="42">
        <v>38749</v>
      </c>
      <c r="C435" s="43">
        <v>1280.7</v>
      </c>
      <c r="D435" s="43">
        <v>1280.0999999999999</v>
      </c>
      <c r="E435" s="43">
        <v>1297.5999999999999</v>
      </c>
      <c r="F435" s="43">
        <v>1253.5999999999999</v>
      </c>
      <c r="H435" s="22">
        <v>5.0000000000000001E-4</v>
      </c>
      <c r="I435" s="34">
        <f t="shared" si="9"/>
        <v>6.3418158465118335E-3</v>
      </c>
    </row>
    <row r="436" spans="2:9" x14ac:dyDescent="0.35">
      <c r="B436" s="42">
        <v>38777</v>
      </c>
      <c r="C436" s="43">
        <v>1294.8</v>
      </c>
      <c r="D436" s="43">
        <v>1280.7</v>
      </c>
      <c r="E436" s="43">
        <v>1310.9</v>
      </c>
      <c r="F436" s="43">
        <v>1268.4000000000001</v>
      </c>
      <c r="H436" s="22">
        <v>1.0999999999999999E-2</v>
      </c>
      <c r="I436" s="34">
        <f t="shared" si="9"/>
        <v>1.1805998723676048E-2</v>
      </c>
    </row>
    <row r="437" spans="2:9" x14ac:dyDescent="0.35">
      <c r="B437" s="42">
        <v>38808</v>
      </c>
      <c r="C437" s="43">
        <v>1310.5999999999999</v>
      </c>
      <c r="D437" s="43">
        <v>1302.9000000000001</v>
      </c>
      <c r="E437" s="43">
        <v>1318.2</v>
      </c>
      <c r="F437" s="43">
        <v>1280.7</v>
      </c>
      <c r="H437" s="22">
        <v>1.2200000000000001E-2</v>
      </c>
      <c r="I437" s="34">
        <f t="shared" si="9"/>
        <v>9.6972563859980543E-3</v>
      </c>
    </row>
    <row r="438" spans="2:9" x14ac:dyDescent="0.35">
      <c r="B438" s="42">
        <v>38838</v>
      </c>
      <c r="C438" s="43">
        <v>1270.0999999999999</v>
      </c>
      <c r="D438" s="43">
        <v>1310.5999999999999</v>
      </c>
      <c r="E438" s="43">
        <v>1326.7</v>
      </c>
      <c r="F438" s="43">
        <v>1245.3</v>
      </c>
      <c r="H438" s="22">
        <v>-3.09E-2</v>
      </c>
      <c r="I438" s="34">
        <f t="shared" si="9"/>
        <v>-2.7641133754977787E-2</v>
      </c>
    </row>
    <row r="439" spans="2:9" x14ac:dyDescent="0.35">
      <c r="B439" s="42">
        <v>38869</v>
      </c>
      <c r="C439" s="43">
        <v>1270.2</v>
      </c>
      <c r="D439" s="43">
        <v>1270</v>
      </c>
      <c r="E439" s="43">
        <v>1290.7</v>
      </c>
      <c r="F439" s="43">
        <v>1219.3</v>
      </c>
      <c r="H439" s="22">
        <v>1E-4</v>
      </c>
      <c r="I439" s="34">
        <f t="shared" si="9"/>
        <v>-2.087850317192641E-2</v>
      </c>
    </row>
    <row r="440" spans="2:9" x14ac:dyDescent="0.35">
      <c r="B440" s="42">
        <v>38899</v>
      </c>
      <c r="C440" s="43">
        <v>1276.7</v>
      </c>
      <c r="D440" s="43">
        <v>1270.0999999999999</v>
      </c>
      <c r="E440" s="43">
        <v>1280.4000000000001</v>
      </c>
      <c r="F440" s="43">
        <v>1224.5</v>
      </c>
      <c r="H440" s="22">
        <v>5.1000000000000004E-3</v>
      </c>
      <c r="I440" s="34">
        <f t="shared" si="9"/>
        <v>4.2647420651193979E-3</v>
      </c>
    </row>
    <row r="441" spans="2:9" x14ac:dyDescent="0.35">
      <c r="B441" s="42">
        <v>38930</v>
      </c>
      <c r="C441" s="43">
        <v>1303.8</v>
      </c>
      <c r="D441" s="43">
        <v>1278.5</v>
      </c>
      <c r="E441" s="43">
        <v>1306.7</v>
      </c>
      <c r="F441" s="43">
        <v>1261.3</v>
      </c>
      <c r="H441" s="22">
        <v>2.12E-2</v>
      </c>
      <c r="I441" s="34">
        <f t="shared" si="9"/>
        <v>3.0053082890975968E-2</v>
      </c>
    </row>
    <row r="442" spans="2:9" x14ac:dyDescent="0.35">
      <c r="B442" s="42">
        <v>38961</v>
      </c>
      <c r="C442" s="43">
        <v>1335.8</v>
      </c>
      <c r="D442" s="43">
        <v>1303.8</v>
      </c>
      <c r="E442" s="43">
        <v>1340.3</v>
      </c>
      <c r="F442" s="43">
        <v>1290.9000000000001</v>
      </c>
      <c r="H442" s="22">
        <v>2.4500000000000001E-2</v>
      </c>
      <c r="I442" s="34">
        <f t="shared" si="9"/>
        <v>2.3467850630302101E-2</v>
      </c>
    </row>
    <row r="443" spans="2:9" x14ac:dyDescent="0.35">
      <c r="B443" s="42">
        <v>38991</v>
      </c>
      <c r="C443" s="43">
        <v>1377.9</v>
      </c>
      <c r="D443" s="43">
        <v>1335.8</v>
      </c>
      <c r="E443" s="43">
        <v>1389.5</v>
      </c>
      <c r="F443" s="43">
        <v>1327.1</v>
      </c>
      <c r="H443" s="22">
        <v>3.15E-2</v>
      </c>
      <c r="I443" s="34">
        <f t="shared" si="9"/>
        <v>2.8042451003176039E-2</v>
      </c>
    </row>
    <row r="444" spans="2:9" x14ac:dyDescent="0.35">
      <c r="B444" s="42">
        <v>39022</v>
      </c>
      <c r="C444" s="43">
        <v>1400.6</v>
      </c>
      <c r="D444" s="43">
        <v>1377.8</v>
      </c>
      <c r="E444" s="43">
        <v>1407.9</v>
      </c>
      <c r="F444" s="43">
        <v>1361</v>
      </c>
      <c r="H444" s="22">
        <v>1.6500000000000001E-2</v>
      </c>
      <c r="I444" s="34">
        <f t="shared" si="9"/>
        <v>2.5544420164268056E-2</v>
      </c>
    </row>
    <row r="445" spans="2:9" x14ac:dyDescent="0.35">
      <c r="B445" s="42">
        <v>39052</v>
      </c>
      <c r="C445" s="43">
        <v>1418.3</v>
      </c>
      <c r="D445" s="43">
        <v>1400.6</v>
      </c>
      <c r="E445" s="43">
        <v>1431.8</v>
      </c>
      <c r="F445" s="43">
        <v>1385.9</v>
      </c>
      <c r="H445" s="22">
        <v>1.26E-2</v>
      </c>
      <c r="I445" s="34">
        <f t="shared" si="9"/>
        <v>1.8295371050698117E-2</v>
      </c>
    </row>
    <row r="446" spans="2:9" x14ac:dyDescent="0.35">
      <c r="B446" s="42">
        <v>39083</v>
      </c>
      <c r="C446" s="43">
        <v>1438.2</v>
      </c>
      <c r="D446" s="43">
        <v>1418</v>
      </c>
      <c r="E446" s="43">
        <v>1441.6</v>
      </c>
      <c r="F446" s="43">
        <v>1404</v>
      </c>
      <c r="H446" s="22">
        <v>1.4E-2</v>
      </c>
      <c r="I446" s="34">
        <f t="shared" si="9"/>
        <v>1.3060105346706097E-2</v>
      </c>
    </row>
    <row r="447" spans="2:9" x14ac:dyDescent="0.35">
      <c r="B447" s="42">
        <v>39114</v>
      </c>
      <c r="C447" s="43">
        <v>1406.8</v>
      </c>
      <c r="D447" s="43">
        <v>1437.9</v>
      </c>
      <c r="E447" s="43">
        <v>1461.6</v>
      </c>
      <c r="F447" s="43">
        <v>1389.4</v>
      </c>
      <c r="H447" s="22">
        <v>-2.18E-2</v>
      </c>
      <c r="I447" s="34">
        <f t="shared" si="9"/>
        <v>-1.0398860398860288E-2</v>
      </c>
    </row>
    <row r="448" spans="2:9" x14ac:dyDescent="0.35">
      <c r="B448" s="42">
        <v>39142</v>
      </c>
      <c r="C448" s="43">
        <v>1420.9</v>
      </c>
      <c r="D448" s="43">
        <v>1406.8</v>
      </c>
      <c r="E448" s="43">
        <v>1438.9</v>
      </c>
      <c r="F448" s="43">
        <v>1364</v>
      </c>
      <c r="H448" s="22">
        <v>0.01</v>
      </c>
      <c r="I448" s="34">
        <f t="shared" si="9"/>
        <v>-1.8281272491723066E-2</v>
      </c>
    </row>
    <row r="449" spans="2:9" x14ac:dyDescent="0.35">
      <c r="B449" s="42">
        <v>39173</v>
      </c>
      <c r="C449" s="43">
        <v>1482.4</v>
      </c>
      <c r="D449" s="43">
        <v>1420.8</v>
      </c>
      <c r="E449" s="43">
        <v>1498</v>
      </c>
      <c r="F449" s="43">
        <v>1416.4</v>
      </c>
      <c r="H449" s="22">
        <v>4.3299999999999998E-2</v>
      </c>
      <c r="I449" s="34">
        <f t="shared" si="9"/>
        <v>3.8416422287390173E-2</v>
      </c>
    </row>
    <row r="450" spans="2:9" x14ac:dyDescent="0.35">
      <c r="B450" s="42">
        <v>39203</v>
      </c>
      <c r="C450" s="43">
        <v>1530.6</v>
      </c>
      <c r="D450" s="43">
        <v>1482.4</v>
      </c>
      <c r="E450" s="43">
        <v>1535.6</v>
      </c>
      <c r="F450" s="43">
        <v>1476.7</v>
      </c>
      <c r="H450" s="22">
        <v>3.2500000000000001E-2</v>
      </c>
      <c r="I450" s="34">
        <f t="shared" si="9"/>
        <v>4.2572719570742601E-2</v>
      </c>
    </row>
    <row r="451" spans="2:9" x14ac:dyDescent="0.35">
      <c r="B451" s="42">
        <v>39234</v>
      </c>
      <c r="C451" s="43">
        <v>1503.3</v>
      </c>
      <c r="D451" s="43">
        <v>1530.6</v>
      </c>
      <c r="E451" s="43">
        <v>1540.6</v>
      </c>
      <c r="F451" s="43">
        <v>1484.2</v>
      </c>
      <c r="H451" s="22">
        <v>-1.78E-2</v>
      </c>
      <c r="I451" s="34">
        <f t="shared" si="9"/>
        <v>5.0788921243312135E-3</v>
      </c>
    </row>
    <row r="452" spans="2:9" x14ac:dyDescent="0.35">
      <c r="B452" s="42">
        <v>39264</v>
      </c>
      <c r="C452" s="43">
        <v>1455.3</v>
      </c>
      <c r="D452" s="43">
        <v>1504.7</v>
      </c>
      <c r="E452" s="43">
        <v>1555.9</v>
      </c>
      <c r="F452" s="43">
        <v>1454.2</v>
      </c>
      <c r="H452" s="22">
        <v>-3.1899999999999998E-2</v>
      </c>
      <c r="I452" s="34">
        <f t="shared" si="9"/>
        <v>-2.0212909311413507E-2</v>
      </c>
    </row>
    <row r="453" spans="2:9" x14ac:dyDescent="0.35">
      <c r="B453" s="42">
        <v>39295</v>
      </c>
      <c r="C453" s="43">
        <v>1474</v>
      </c>
      <c r="D453" s="43">
        <v>1455.2</v>
      </c>
      <c r="E453" s="43">
        <v>1503.9</v>
      </c>
      <c r="F453" s="43">
        <v>1370.6</v>
      </c>
      <c r="H453" s="22">
        <v>1.2800000000000001E-2</v>
      </c>
      <c r="I453" s="34">
        <f t="shared" ref="I453:I516" si="10">F453/F452-1</f>
        <v>-5.7488653555219482E-2</v>
      </c>
    </row>
    <row r="454" spans="2:9" x14ac:dyDescent="0.35">
      <c r="B454" s="42">
        <v>39326</v>
      </c>
      <c r="C454" s="43">
        <v>1526.8</v>
      </c>
      <c r="D454" s="43">
        <v>1474</v>
      </c>
      <c r="E454" s="43">
        <v>1538.7</v>
      </c>
      <c r="F454" s="43">
        <v>1439.3</v>
      </c>
      <c r="H454" s="22">
        <v>3.5799999999999998E-2</v>
      </c>
      <c r="I454" s="34">
        <f t="shared" si="10"/>
        <v>5.0124033270100732E-2</v>
      </c>
    </row>
    <row r="455" spans="2:9" x14ac:dyDescent="0.35">
      <c r="B455" s="42">
        <v>39356</v>
      </c>
      <c r="C455" s="43">
        <v>1549.4</v>
      </c>
      <c r="D455" s="43">
        <v>1527.3</v>
      </c>
      <c r="E455" s="43">
        <v>1576.1</v>
      </c>
      <c r="F455" s="43">
        <v>1489.6</v>
      </c>
      <c r="H455" s="22">
        <v>1.4800000000000001E-2</v>
      </c>
      <c r="I455" s="34">
        <f t="shared" si="10"/>
        <v>3.4947543944973125E-2</v>
      </c>
    </row>
    <row r="456" spans="2:9" x14ac:dyDescent="0.35">
      <c r="B456" s="42">
        <v>39387</v>
      </c>
      <c r="C456" s="43">
        <v>1481.1</v>
      </c>
      <c r="D456" s="43">
        <v>1545.8</v>
      </c>
      <c r="E456" s="43">
        <v>1545.8</v>
      </c>
      <c r="F456" s="43">
        <v>1406.1</v>
      </c>
      <c r="H456" s="22">
        <v>-4.41E-2</v>
      </c>
      <c r="I456" s="34">
        <f t="shared" si="10"/>
        <v>-5.6055316863587556E-2</v>
      </c>
    </row>
    <row r="457" spans="2:9" x14ac:dyDescent="0.35">
      <c r="B457" s="42">
        <v>39417</v>
      </c>
      <c r="C457" s="43">
        <v>1468.4</v>
      </c>
      <c r="D457" s="43">
        <v>1479.6</v>
      </c>
      <c r="E457" s="43">
        <v>1523.6</v>
      </c>
      <c r="F457" s="43">
        <v>1435.7</v>
      </c>
      <c r="H457" s="22">
        <v>-8.6E-3</v>
      </c>
      <c r="I457" s="34">
        <f t="shared" si="10"/>
        <v>2.1051134343218925E-2</v>
      </c>
    </row>
    <row r="458" spans="2:9" x14ac:dyDescent="0.35">
      <c r="B458" s="42">
        <v>39448</v>
      </c>
      <c r="C458" s="43">
        <v>1378.5</v>
      </c>
      <c r="D458" s="43">
        <v>1468</v>
      </c>
      <c r="E458" s="43">
        <v>1471.8</v>
      </c>
      <c r="F458" s="43">
        <v>1270</v>
      </c>
      <c r="H458" s="22">
        <v>-6.1199999999999997E-2</v>
      </c>
      <c r="I458" s="34">
        <f t="shared" si="10"/>
        <v>-0.11541408372222617</v>
      </c>
    </row>
    <row r="459" spans="2:9" x14ac:dyDescent="0.35">
      <c r="B459" s="42">
        <v>39479</v>
      </c>
      <c r="C459" s="43">
        <v>1330.6</v>
      </c>
      <c r="D459" s="43">
        <v>1378.6</v>
      </c>
      <c r="E459" s="43">
        <v>1396</v>
      </c>
      <c r="F459" s="43">
        <v>1316.8</v>
      </c>
      <c r="H459" s="22">
        <v>-3.4700000000000002E-2</v>
      </c>
      <c r="I459" s="34">
        <f t="shared" si="10"/>
        <v>3.6850393700787354E-2</v>
      </c>
    </row>
    <row r="460" spans="2:9" x14ac:dyDescent="0.35">
      <c r="B460" s="42">
        <v>39508</v>
      </c>
      <c r="C460" s="43">
        <v>1322.7</v>
      </c>
      <c r="D460" s="43">
        <v>1330.5</v>
      </c>
      <c r="E460" s="43">
        <v>1359.7</v>
      </c>
      <c r="F460" s="43">
        <v>1257</v>
      </c>
      <c r="H460" s="22">
        <v>-5.8999999999999999E-3</v>
      </c>
      <c r="I460" s="34">
        <f t="shared" si="10"/>
        <v>-4.5413122721749688E-2</v>
      </c>
    </row>
    <row r="461" spans="2:9" x14ac:dyDescent="0.35">
      <c r="B461" s="42">
        <v>39539</v>
      </c>
      <c r="C461" s="43">
        <v>1385.6</v>
      </c>
      <c r="D461" s="43">
        <v>1326.4</v>
      </c>
      <c r="E461" s="43">
        <v>1404.6</v>
      </c>
      <c r="F461" s="43">
        <v>1324.3</v>
      </c>
      <c r="H461" s="22">
        <v>4.7600000000000003E-2</v>
      </c>
      <c r="I461" s="34">
        <f t="shared" si="10"/>
        <v>5.3540175019888503E-2</v>
      </c>
    </row>
    <row r="462" spans="2:9" x14ac:dyDescent="0.35">
      <c r="B462" s="42">
        <v>39569</v>
      </c>
      <c r="C462" s="43">
        <v>1400.4</v>
      </c>
      <c r="D462" s="43">
        <v>1386</v>
      </c>
      <c r="E462" s="43">
        <v>1440.2</v>
      </c>
      <c r="F462" s="43">
        <v>1373.1</v>
      </c>
      <c r="H462" s="22">
        <v>1.0699999999999999E-2</v>
      </c>
      <c r="I462" s="34">
        <f t="shared" si="10"/>
        <v>3.6849656422260679E-2</v>
      </c>
    </row>
    <row r="463" spans="2:9" x14ac:dyDescent="0.35">
      <c r="B463" s="42">
        <v>39600</v>
      </c>
      <c r="C463" s="43">
        <v>1280</v>
      </c>
      <c r="D463" s="43">
        <v>1399.6</v>
      </c>
      <c r="E463" s="43">
        <v>1404</v>
      </c>
      <c r="F463" s="43">
        <v>1272</v>
      </c>
      <c r="H463" s="22">
        <v>-8.5999999999999993E-2</v>
      </c>
      <c r="I463" s="34">
        <f t="shared" si="10"/>
        <v>-7.3629014638409429E-2</v>
      </c>
    </row>
    <row r="464" spans="2:9" x14ac:dyDescent="0.35">
      <c r="B464" s="42">
        <v>39630</v>
      </c>
      <c r="C464" s="43">
        <v>1267.4000000000001</v>
      </c>
      <c r="D464" s="43">
        <v>1276.7</v>
      </c>
      <c r="E464" s="43">
        <v>1292.2</v>
      </c>
      <c r="F464" s="43">
        <v>1200.4000000000001</v>
      </c>
      <c r="H464" s="22">
        <v>-9.7999999999999997E-3</v>
      </c>
      <c r="I464" s="34">
        <f t="shared" si="10"/>
        <v>-5.6289308176100561E-2</v>
      </c>
    </row>
    <row r="465" spans="2:9" x14ac:dyDescent="0.35">
      <c r="B465" s="42">
        <v>39661</v>
      </c>
      <c r="C465" s="43">
        <v>1282.8</v>
      </c>
      <c r="D465" s="43">
        <v>1269.4000000000001</v>
      </c>
      <c r="E465" s="43">
        <v>1313.2</v>
      </c>
      <c r="F465" s="43">
        <v>1247.5</v>
      </c>
      <c r="H465" s="22">
        <v>1.2200000000000001E-2</v>
      </c>
      <c r="I465" s="34">
        <f t="shared" si="10"/>
        <v>3.9236921026324589E-2</v>
      </c>
    </row>
    <row r="466" spans="2:9" x14ac:dyDescent="0.35">
      <c r="B466" s="42">
        <v>39692</v>
      </c>
      <c r="C466" s="43">
        <v>1166.4000000000001</v>
      </c>
      <c r="D466" s="43">
        <v>1287.8</v>
      </c>
      <c r="E466" s="43">
        <v>1303</v>
      </c>
      <c r="F466" s="43">
        <v>1106.4000000000001</v>
      </c>
      <c r="H466" s="22">
        <v>-9.0700000000000003E-2</v>
      </c>
      <c r="I466" s="34">
        <f t="shared" si="10"/>
        <v>-0.11310621242484964</v>
      </c>
    </row>
    <row r="467" spans="2:9" x14ac:dyDescent="0.35">
      <c r="B467" s="42">
        <v>39722</v>
      </c>
      <c r="C467" s="5">
        <v>968.8</v>
      </c>
      <c r="D467" s="43">
        <v>1164.2</v>
      </c>
      <c r="E467" s="43">
        <v>1167</v>
      </c>
      <c r="F467" s="5">
        <v>839.8</v>
      </c>
      <c r="H467" s="22">
        <v>-0.1694</v>
      </c>
      <c r="I467" s="34">
        <f t="shared" si="10"/>
        <v>-0.24096167751265374</v>
      </c>
    </row>
    <row r="468" spans="2:9" x14ac:dyDescent="0.35">
      <c r="B468" s="42">
        <v>39753</v>
      </c>
      <c r="C468" s="5">
        <v>896.2</v>
      </c>
      <c r="D468" s="5">
        <v>968.7</v>
      </c>
      <c r="E468" s="43">
        <v>1007.5</v>
      </c>
      <c r="F468" s="5">
        <v>741</v>
      </c>
      <c r="H468" s="22">
        <v>-7.4899999999999994E-2</v>
      </c>
      <c r="I468" s="34">
        <f t="shared" si="10"/>
        <v>-0.11764705882352933</v>
      </c>
    </row>
    <row r="469" spans="2:9" x14ac:dyDescent="0.35">
      <c r="B469" s="42">
        <v>39783</v>
      </c>
      <c r="C469" s="5">
        <v>903.2</v>
      </c>
      <c r="D469" s="5">
        <v>888.6</v>
      </c>
      <c r="E469" s="5">
        <v>918.9</v>
      </c>
      <c r="F469" s="5">
        <v>815.7</v>
      </c>
      <c r="H469" s="22">
        <v>7.7999999999999996E-3</v>
      </c>
      <c r="I469" s="34">
        <f t="shared" si="10"/>
        <v>0.10080971659919036</v>
      </c>
    </row>
    <row r="470" spans="2:9" x14ac:dyDescent="0.35">
      <c r="B470" s="42">
        <v>39814</v>
      </c>
      <c r="C470" s="5">
        <v>825.9</v>
      </c>
      <c r="D470" s="5">
        <v>903</v>
      </c>
      <c r="E470" s="5">
        <v>943.9</v>
      </c>
      <c r="F470" s="5">
        <v>804.3</v>
      </c>
      <c r="H470" s="22">
        <v>-8.5599999999999996E-2</v>
      </c>
      <c r="I470" s="34">
        <f t="shared" si="10"/>
        <v>-1.3975726369989117E-2</v>
      </c>
    </row>
    <row r="471" spans="2:9" x14ac:dyDescent="0.35">
      <c r="B471" s="42">
        <v>39845</v>
      </c>
      <c r="C471" s="5">
        <v>735.1</v>
      </c>
      <c r="D471" s="5">
        <v>823.1</v>
      </c>
      <c r="E471" s="5">
        <v>875</v>
      </c>
      <c r="F471" s="5">
        <v>734.5</v>
      </c>
      <c r="H471" s="22">
        <v>-0.1099</v>
      </c>
      <c r="I471" s="34">
        <f t="shared" si="10"/>
        <v>-8.6783538480666333E-2</v>
      </c>
    </row>
    <row r="472" spans="2:9" x14ac:dyDescent="0.35">
      <c r="B472" s="42">
        <v>39873</v>
      </c>
      <c r="C472" s="5">
        <v>797.9</v>
      </c>
      <c r="D472" s="5">
        <v>729.6</v>
      </c>
      <c r="E472" s="5">
        <v>833</v>
      </c>
      <c r="F472" s="5">
        <v>666.8</v>
      </c>
      <c r="H472" s="22">
        <v>8.5400000000000004E-2</v>
      </c>
      <c r="I472" s="34">
        <f t="shared" si="10"/>
        <v>-9.2171545268890487E-2</v>
      </c>
    </row>
    <row r="473" spans="2:9" x14ac:dyDescent="0.35">
      <c r="B473" s="42">
        <v>39904</v>
      </c>
      <c r="C473" s="5">
        <v>872.8</v>
      </c>
      <c r="D473" s="5">
        <v>793.6</v>
      </c>
      <c r="E473" s="5">
        <v>888.7</v>
      </c>
      <c r="F473" s="5">
        <v>783.3</v>
      </c>
      <c r="H473" s="22">
        <v>9.3899999999999997E-2</v>
      </c>
      <c r="I473" s="34">
        <f t="shared" si="10"/>
        <v>0.17471505698860224</v>
      </c>
    </row>
    <row r="474" spans="2:9" x14ac:dyDescent="0.35">
      <c r="B474" s="42">
        <v>39934</v>
      </c>
      <c r="C474" s="5">
        <v>919.1</v>
      </c>
      <c r="D474" s="5">
        <v>872.7</v>
      </c>
      <c r="E474" s="5">
        <v>930.2</v>
      </c>
      <c r="F474" s="5">
        <v>866.1</v>
      </c>
      <c r="H474" s="22">
        <v>5.2999999999999999E-2</v>
      </c>
      <c r="I474" s="34">
        <f t="shared" si="10"/>
        <v>0.10570662581386459</v>
      </c>
    </row>
    <row r="475" spans="2:9" x14ac:dyDescent="0.35">
      <c r="B475" s="42">
        <v>39965</v>
      </c>
      <c r="C475" s="5">
        <v>919.3</v>
      </c>
      <c r="D475" s="5">
        <v>923.3</v>
      </c>
      <c r="E475" s="5">
        <v>956.2</v>
      </c>
      <c r="F475" s="5">
        <v>888.9</v>
      </c>
      <c r="H475" s="22">
        <v>2.0000000000000001E-4</v>
      </c>
      <c r="I475" s="34">
        <f t="shared" si="10"/>
        <v>2.6324904745410382E-2</v>
      </c>
    </row>
    <row r="476" spans="2:9" x14ac:dyDescent="0.35">
      <c r="B476" s="42">
        <v>39995</v>
      </c>
      <c r="C476" s="5">
        <v>987.5</v>
      </c>
      <c r="D476" s="5">
        <v>920.8</v>
      </c>
      <c r="E476" s="5">
        <v>996.7</v>
      </c>
      <c r="F476" s="5">
        <v>869.3</v>
      </c>
      <c r="H476" s="22">
        <v>7.4200000000000002E-2</v>
      </c>
      <c r="I476" s="34">
        <f t="shared" si="10"/>
        <v>-2.2049724378445323E-2</v>
      </c>
    </row>
    <row r="477" spans="2:9" x14ac:dyDescent="0.35">
      <c r="B477" s="42">
        <v>40026</v>
      </c>
      <c r="C477" s="43">
        <v>1020.6</v>
      </c>
      <c r="D477" s="5">
        <v>990.2</v>
      </c>
      <c r="E477" s="43">
        <v>1039.5</v>
      </c>
      <c r="F477" s="5">
        <v>978.5</v>
      </c>
      <c r="H477" s="22">
        <v>3.3500000000000002E-2</v>
      </c>
      <c r="I477" s="34">
        <f t="shared" si="10"/>
        <v>0.12561831358564368</v>
      </c>
    </row>
    <row r="478" spans="2:9" x14ac:dyDescent="0.35">
      <c r="B478" s="42">
        <v>40057</v>
      </c>
      <c r="C478" s="43">
        <v>1057.0999999999999</v>
      </c>
      <c r="D478" s="43">
        <v>1019.5</v>
      </c>
      <c r="E478" s="43">
        <v>1080.2</v>
      </c>
      <c r="F478" s="5">
        <v>992</v>
      </c>
      <c r="H478" s="22">
        <v>3.5799999999999998E-2</v>
      </c>
      <c r="I478" s="34">
        <f t="shared" si="10"/>
        <v>1.37966274910577E-2</v>
      </c>
    </row>
    <row r="479" spans="2:9" x14ac:dyDescent="0.35">
      <c r="B479" s="42">
        <v>40087</v>
      </c>
      <c r="C479" s="43">
        <v>1036.2</v>
      </c>
      <c r="D479" s="43">
        <v>1054.9000000000001</v>
      </c>
      <c r="E479" s="43">
        <v>1101.4000000000001</v>
      </c>
      <c r="F479" s="43">
        <v>1020</v>
      </c>
      <c r="H479" s="22">
        <v>-1.9800000000000002E-2</v>
      </c>
      <c r="I479" s="34">
        <f t="shared" si="10"/>
        <v>2.8225806451612989E-2</v>
      </c>
    </row>
    <row r="480" spans="2:9" x14ac:dyDescent="0.35">
      <c r="B480" s="42">
        <v>40118</v>
      </c>
      <c r="C480" s="43">
        <v>1095.5999999999999</v>
      </c>
      <c r="D480" s="43">
        <v>1036.2</v>
      </c>
      <c r="E480" s="43">
        <v>1113.7</v>
      </c>
      <c r="F480" s="43">
        <v>1029.4000000000001</v>
      </c>
      <c r="H480" s="22">
        <v>5.7299999999999997E-2</v>
      </c>
      <c r="I480" s="34">
        <f t="shared" si="10"/>
        <v>9.21568627450986E-3</v>
      </c>
    </row>
    <row r="481" spans="2:9" x14ac:dyDescent="0.35">
      <c r="B481" s="42">
        <v>40148</v>
      </c>
      <c r="C481" s="43">
        <v>1115.0999999999999</v>
      </c>
      <c r="D481" s="43">
        <v>1098.9000000000001</v>
      </c>
      <c r="E481" s="43">
        <v>1130.4000000000001</v>
      </c>
      <c r="F481" s="43">
        <v>1085.9000000000001</v>
      </c>
      <c r="H481" s="22">
        <v>1.78E-2</v>
      </c>
      <c r="I481" s="34">
        <f t="shared" si="10"/>
        <v>5.4886341558189278E-2</v>
      </c>
    </row>
    <row r="482" spans="2:9" x14ac:dyDescent="0.35">
      <c r="B482" s="42">
        <v>40179</v>
      </c>
      <c r="C482" s="43">
        <v>1073.9000000000001</v>
      </c>
      <c r="D482" s="43">
        <v>1116.5999999999999</v>
      </c>
      <c r="E482" s="43">
        <v>1150.5</v>
      </c>
      <c r="F482" s="43">
        <v>1071.5999999999999</v>
      </c>
      <c r="H482" s="22">
        <v>-3.6900000000000002E-2</v>
      </c>
      <c r="I482" s="34">
        <f t="shared" si="10"/>
        <v>-1.3168800073671827E-2</v>
      </c>
    </row>
    <row r="483" spans="2:9" x14ac:dyDescent="0.35">
      <c r="B483" s="42">
        <v>40210</v>
      </c>
      <c r="C483" s="43">
        <v>1104.5</v>
      </c>
      <c r="D483" s="43">
        <v>1073.9000000000001</v>
      </c>
      <c r="E483" s="43">
        <v>1112.4000000000001</v>
      </c>
      <c r="F483" s="43">
        <v>1044.5</v>
      </c>
      <c r="H483" s="22">
        <v>2.8500000000000001E-2</v>
      </c>
      <c r="I483" s="34">
        <f t="shared" si="10"/>
        <v>-2.5289287047405629E-2</v>
      </c>
    </row>
    <row r="484" spans="2:9" x14ac:dyDescent="0.35">
      <c r="B484" s="42">
        <v>40238</v>
      </c>
      <c r="C484" s="43">
        <v>1169.4000000000001</v>
      </c>
      <c r="D484" s="43">
        <v>1105.4000000000001</v>
      </c>
      <c r="E484" s="43">
        <v>1180.7</v>
      </c>
      <c r="F484" s="43">
        <v>1105.4000000000001</v>
      </c>
      <c r="H484" s="22">
        <v>5.8799999999999998E-2</v>
      </c>
      <c r="I484" s="34">
        <f t="shared" si="10"/>
        <v>5.8305409286740106E-2</v>
      </c>
    </row>
    <row r="485" spans="2:9" x14ac:dyDescent="0.35">
      <c r="B485" s="42">
        <v>40269</v>
      </c>
      <c r="C485" s="43">
        <v>1186.7</v>
      </c>
      <c r="D485" s="43">
        <v>1171.2</v>
      </c>
      <c r="E485" s="43">
        <v>1219.8</v>
      </c>
      <c r="F485" s="43">
        <v>1170.7</v>
      </c>
      <c r="H485" s="22">
        <v>1.4800000000000001E-2</v>
      </c>
      <c r="I485" s="34">
        <f t="shared" si="10"/>
        <v>5.9073638501899728E-2</v>
      </c>
    </row>
    <row r="486" spans="2:9" x14ac:dyDescent="0.35">
      <c r="B486" s="42">
        <v>40299</v>
      </c>
      <c r="C486" s="43">
        <v>1089.4000000000001</v>
      </c>
      <c r="D486" s="43">
        <v>1188.5999999999999</v>
      </c>
      <c r="E486" s="43">
        <v>1205.0999999999999</v>
      </c>
      <c r="F486" s="43">
        <v>1040.8</v>
      </c>
      <c r="H486" s="22">
        <v>-8.2000000000000003E-2</v>
      </c>
      <c r="I486" s="34">
        <f t="shared" si="10"/>
        <v>-0.11095925514649363</v>
      </c>
    </row>
    <row r="487" spans="2:9" x14ac:dyDescent="0.35">
      <c r="B487" s="42">
        <v>40330</v>
      </c>
      <c r="C487" s="43">
        <v>1030.7</v>
      </c>
      <c r="D487" s="43">
        <v>1087.3</v>
      </c>
      <c r="E487" s="43">
        <v>1131.2</v>
      </c>
      <c r="F487" s="43">
        <v>1028.3</v>
      </c>
      <c r="H487" s="22">
        <v>-5.3900000000000003E-2</v>
      </c>
      <c r="I487" s="34">
        <f t="shared" si="10"/>
        <v>-1.2009992313604889E-2</v>
      </c>
    </row>
    <row r="488" spans="2:9" x14ac:dyDescent="0.35">
      <c r="B488" s="42">
        <v>40360</v>
      </c>
      <c r="C488" s="43">
        <v>1101.5999999999999</v>
      </c>
      <c r="D488" s="43">
        <v>1031.0999999999999</v>
      </c>
      <c r="E488" s="43">
        <v>1121</v>
      </c>
      <c r="F488" s="43">
        <v>1010.9</v>
      </c>
      <c r="H488" s="22">
        <v>6.88E-2</v>
      </c>
      <c r="I488" s="34">
        <f t="shared" si="10"/>
        <v>-1.6921131965379699E-2</v>
      </c>
    </row>
    <row r="489" spans="2:9" x14ac:dyDescent="0.35">
      <c r="B489" s="42">
        <v>40391</v>
      </c>
      <c r="C489" s="43">
        <v>1049.3</v>
      </c>
      <c r="D489" s="43">
        <v>1107.5</v>
      </c>
      <c r="E489" s="43">
        <v>1129.2</v>
      </c>
      <c r="F489" s="43">
        <v>1039.7</v>
      </c>
      <c r="H489" s="22">
        <v>-4.7500000000000001E-2</v>
      </c>
      <c r="I489" s="34">
        <f t="shared" si="10"/>
        <v>2.8489464833316935E-2</v>
      </c>
    </row>
    <row r="490" spans="2:9" x14ac:dyDescent="0.35">
      <c r="B490" s="42">
        <v>40422</v>
      </c>
      <c r="C490" s="43">
        <v>1141.2</v>
      </c>
      <c r="D490" s="43">
        <v>1049.7</v>
      </c>
      <c r="E490" s="43">
        <v>1157.2</v>
      </c>
      <c r="F490" s="43">
        <v>1049.7</v>
      </c>
      <c r="H490" s="22">
        <v>8.7599999999999997E-2</v>
      </c>
      <c r="I490" s="34">
        <f t="shared" si="10"/>
        <v>9.6181590843511522E-3</v>
      </c>
    </row>
    <row r="491" spans="2:9" x14ac:dyDescent="0.35">
      <c r="B491" s="42">
        <v>40452</v>
      </c>
      <c r="C491" s="43">
        <v>1183.3</v>
      </c>
      <c r="D491" s="43">
        <v>1143.5</v>
      </c>
      <c r="E491" s="43">
        <v>1196.0999999999999</v>
      </c>
      <c r="F491" s="43">
        <v>1131.9000000000001</v>
      </c>
      <c r="H491" s="22">
        <v>3.6900000000000002E-2</v>
      </c>
      <c r="I491" s="34">
        <f t="shared" si="10"/>
        <v>7.8308088025150102E-2</v>
      </c>
    </row>
    <row r="492" spans="2:9" x14ac:dyDescent="0.35">
      <c r="B492" s="42">
        <v>40483</v>
      </c>
      <c r="C492" s="43">
        <v>1180.5</v>
      </c>
      <c r="D492" s="43">
        <v>1185.7</v>
      </c>
      <c r="E492" s="43">
        <v>1227.0999999999999</v>
      </c>
      <c r="F492" s="43">
        <v>1173</v>
      </c>
      <c r="H492" s="22">
        <v>-2.3999999999999998E-3</v>
      </c>
      <c r="I492" s="34">
        <f t="shared" si="10"/>
        <v>3.6310628147362856E-2</v>
      </c>
    </row>
    <row r="493" spans="2:9" x14ac:dyDescent="0.35">
      <c r="B493" s="42">
        <v>40513</v>
      </c>
      <c r="C493" s="43">
        <v>1257.5999999999999</v>
      </c>
      <c r="D493" s="43">
        <v>1186.5999999999999</v>
      </c>
      <c r="E493" s="43">
        <v>1262.5999999999999</v>
      </c>
      <c r="F493" s="43">
        <v>1186.5999999999999</v>
      </c>
      <c r="H493" s="22">
        <v>6.5299999999999997E-2</v>
      </c>
      <c r="I493" s="34">
        <f t="shared" si="10"/>
        <v>1.1594202898550732E-2</v>
      </c>
    </row>
    <row r="494" spans="2:9" x14ac:dyDescent="0.35">
      <c r="B494" s="42">
        <v>40544</v>
      </c>
      <c r="C494" s="43">
        <v>1286.0999999999999</v>
      </c>
      <c r="D494" s="43">
        <v>1257.5999999999999</v>
      </c>
      <c r="E494" s="43">
        <v>1302.7</v>
      </c>
      <c r="F494" s="43">
        <v>1257.5999999999999</v>
      </c>
      <c r="H494" s="22">
        <v>2.2700000000000001E-2</v>
      </c>
      <c r="I494" s="34">
        <f t="shared" si="10"/>
        <v>5.983482218102143E-2</v>
      </c>
    </row>
    <row r="495" spans="2:9" x14ac:dyDescent="0.35">
      <c r="B495" s="42">
        <v>40575</v>
      </c>
      <c r="C495" s="43">
        <v>1327.2</v>
      </c>
      <c r="D495" s="43">
        <v>1289.0999999999999</v>
      </c>
      <c r="E495" s="43">
        <v>1344.1</v>
      </c>
      <c r="F495" s="43">
        <v>1289.0999999999999</v>
      </c>
      <c r="H495" s="22">
        <v>3.2000000000000001E-2</v>
      </c>
      <c r="I495" s="34">
        <f t="shared" si="10"/>
        <v>2.5047709923664119E-2</v>
      </c>
    </row>
    <row r="496" spans="2:9" x14ac:dyDescent="0.35">
      <c r="B496" s="42">
        <v>40603</v>
      </c>
      <c r="C496" s="43">
        <v>1325.8</v>
      </c>
      <c r="D496" s="43">
        <v>1328.6</v>
      </c>
      <c r="E496" s="43">
        <v>1332.3</v>
      </c>
      <c r="F496" s="43">
        <v>1249</v>
      </c>
      <c r="H496" s="22">
        <v>-1.1000000000000001E-3</v>
      </c>
      <c r="I496" s="34">
        <f t="shared" si="10"/>
        <v>-3.1106973857730091E-2</v>
      </c>
    </row>
    <row r="497" spans="2:9" x14ac:dyDescent="0.35">
      <c r="B497" s="42">
        <v>40634</v>
      </c>
      <c r="C497" s="43">
        <v>1363.6</v>
      </c>
      <c r="D497" s="43">
        <v>1329.5</v>
      </c>
      <c r="E497" s="43">
        <v>1364.6</v>
      </c>
      <c r="F497" s="43">
        <v>1294.7</v>
      </c>
      <c r="H497" s="22">
        <v>2.8500000000000001E-2</v>
      </c>
      <c r="I497" s="34">
        <f t="shared" si="10"/>
        <v>3.658927141713364E-2</v>
      </c>
    </row>
    <row r="498" spans="2:9" x14ac:dyDescent="0.35">
      <c r="B498" s="42">
        <v>40664</v>
      </c>
      <c r="C498" s="43">
        <v>1345.2</v>
      </c>
      <c r="D498" s="43">
        <v>1365.2</v>
      </c>
      <c r="E498" s="43">
        <v>1370.6</v>
      </c>
      <c r="F498" s="43">
        <v>1311.8</v>
      </c>
      <c r="H498" s="22">
        <v>-1.35E-2</v>
      </c>
      <c r="I498" s="34">
        <f t="shared" si="10"/>
        <v>1.3207692901830548E-2</v>
      </c>
    </row>
    <row r="499" spans="2:9" x14ac:dyDescent="0.35">
      <c r="B499" s="42">
        <v>40695</v>
      </c>
      <c r="C499" s="43">
        <v>1320.6</v>
      </c>
      <c r="D499" s="43">
        <v>1345.2</v>
      </c>
      <c r="E499" s="43">
        <v>1345.2</v>
      </c>
      <c r="F499" s="43">
        <v>1258.0999999999999</v>
      </c>
      <c r="H499" s="22">
        <v>-1.83E-2</v>
      </c>
      <c r="I499" s="34">
        <f t="shared" si="10"/>
        <v>-4.0936118310718084E-2</v>
      </c>
    </row>
    <row r="500" spans="2:9" x14ac:dyDescent="0.35">
      <c r="B500" s="42">
        <v>40725</v>
      </c>
      <c r="C500" s="43">
        <v>1292.3</v>
      </c>
      <c r="D500" s="43">
        <v>1320.6</v>
      </c>
      <c r="E500" s="43">
        <v>1356.5</v>
      </c>
      <c r="F500" s="43">
        <v>1282.9000000000001</v>
      </c>
      <c r="H500" s="22">
        <v>-2.1399999999999999E-2</v>
      </c>
      <c r="I500" s="34">
        <f t="shared" si="10"/>
        <v>1.9712264525872492E-2</v>
      </c>
    </row>
    <row r="501" spans="2:9" x14ac:dyDescent="0.35">
      <c r="B501" s="42">
        <v>40756</v>
      </c>
      <c r="C501" s="43">
        <v>1218.9000000000001</v>
      </c>
      <c r="D501" s="43">
        <v>1292.5999999999999</v>
      </c>
      <c r="E501" s="43">
        <v>1307.4000000000001</v>
      </c>
      <c r="F501" s="43">
        <v>1101.5</v>
      </c>
      <c r="H501" s="22">
        <v>-5.6800000000000003E-2</v>
      </c>
      <c r="I501" s="34">
        <f t="shared" si="10"/>
        <v>-0.14139839426299794</v>
      </c>
    </row>
    <row r="502" spans="2:9" x14ac:dyDescent="0.35">
      <c r="B502" s="42">
        <v>40787</v>
      </c>
      <c r="C502" s="43">
        <v>1131.4000000000001</v>
      </c>
      <c r="D502" s="43">
        <v>1219.0999999999999</v>
      </c>
      <c r="E502" s="43">
        <v>1229.3</v>
      </c>
      <c r="F502" s="43">
        <v>1114.2</v>
      </c>
      <c r="H502" s="22">
        <v>-7.1800000000000003E-2</v>
      </c>
      <c r="I502" s="34">
        <f t="shared" si="10"/>
        <v>1.1529732183386265E-2</v>
      </c>
    </row>
    <row r="503" spans="2:9" x14ac:dyDescent="0.35">
      <c r="B503" s="42">
        <v>40817</v>
      </c>
      <c r="C503" s="43">
        <v>1253.3</v>
      </c>
      <c r="D503" s="43">
        <v>1131.2</v>
      </c>
      <c r="E503" s="43">
        <v>1292.7</v>
      </c>
      <c r="F503" s="43">
        <v>1074.8</v>
      </c>
      <c r="H503" s="22">
        <v>0.1077</v>
      </c>
      <c r="I503" s="34">
        <f t="shared" si="10"/>
        <v>-3.5361694489319806E-2</v>
      </c>
    </row>
    <row r="504" spans="2:9" x14ac:dyDescent="0.35">
      <c r="B504" s="42">
        <v>40848</v>
      </c>
      <c r="C504" s="43">
        <v>1247</v>
      </c>
      <c r="D504" s="43">
        <v>1251</v>
      </c>
      <c r="E504" s="43">
        <v>1277.5</v>
      </c>
      <c r="F504" s="43">
        <v>1158.7</v>
      </c>
      <c r="H504" s="22">
        <v>-5.0000000000000001E-3</v>
      </c>
      <c r="I504" s="34">
        <f t="shared" si="10"/>
        <v>7.8061034611090596E-2</v>
      </c>
    </row>
    <row r="505" spans="2:9" x14ac:dyDescent="0.35">
      <c r="B505" s="42">
        <v>40878</v>
      </c>
      <c r="C505" s="43">
        <v>1257.5999999999999</v>
      </c>
      <c r="D505" s="43">
        <v>1246.9000000000001</v>
      </c>
      <c r="E505" s="43">
        <v>1269.4000000000001</v>
      </c>
      <c r="F505" s="43">
        <v>1202.4000000000001</v>
      </c>
      <c r="H505" s="22">
        <v>8.5000000000000006E-3</v>
      </c>
      <c r="I505" s="34">
        <f t="shared" si="10"/>
        <v>3.7714680245102272E-2</v>
      </c>
    </row>
    <row r="506" spans="2:9" x14ac:dyDescent="0.35">
      <c r="B506" s="42">
        <v>40909</v>
      </c>
      <c r="C506" s="43">
        <v>1312.4</v>
      </c>
      <c r="D506" s="43">
        <v>1258.9000000000001</v>
      </c>
      <c r="E506" s="43">
        <v>1333.5</v>
      </c>
      <c r="F506" s="43">
        <v>1258.9000000000001</v>
      </c>
      <c r="H506" s="22">
        <v>4.36E-2</v>
      </c>
      <c r="I506" s="34">
        <f t="shared" si="10"/>
        <v>4.6989354624085156E-2</v>
      </c>
    </row>
    <row r="507" spans="2:9" x14ac:dyDescent="0.35">
      <c r="B507" s="42">
        <v>40940</v>
      </c>
      <c r="C507" s="43">
        <v>1365.7</v>
      </c>
      <c r="D507" s="43">
        <v>1312.5</v>
      </c>
      <c r="E507" s="43">
        <v>1378</v>
      </c>
      <c r="F507" s="43">
        <v>1312.5</v>
      </c>
      <c r="H507" s="22">
        <v>4.0599999999999997E-2</v>
      </c>
      <c r="I507" s="34">
        <f t="shared" si="10"/>
        <v>4.2576852808006826E-2</v>
      </c>
    </row>
    <row r="508" spans="2:9" x14ac:dyDescent="0.35">
      <c r="B508" s="42">
        <v>40969</v>
      </c>
      <c r="C508" s="43">
        <v>1408.5</v>
      </c>
      <c r="D508" s="43">
        <v>1365.9</v>
      </c>
      <c r="E508" s="43">
        <v>1419.2</v>
      </c>
      <c r="F508" s="43">
        <v>1340</v>
      </c>
      <c r="H508" s="22">
        <v>3.1300000000000001E-2</v>
      </c>
      <c r="I508" s="34">
        <f t="shared" si="10"/>
        <v>2.0952380952381056E-2</v>
      </c>
    </row>
    <row r="509" spans="2:9" x14ac:dyDescent="0.35">
      <c r="B509" s="42">
        <v>41000</v>
      </c>
      <c r="C509" s="43">
        <v>1397.9</v>
      </c>
      <c r="D509" s="43">
        <v>1408.5</v>
      </c>
      <c r="E509" s="43">
        <v>1422.4</v>
      </c>
      <c r="F509" s="43">
        <v>1357.4</v>
      </c>
      <c r="H509" s="22">
        <v>-7.4999999999999997E-3</v>
      </c>
      <c r="I509" s="34">
        <f t="shared" si="10"/>
        <v>1.2985074626865822E-2</v>
      </c>
    </row>
    <row r="510" spans="2:9" x14ac:dyDescent="0.35">
      <c r="B510" s="42">
        <v>41030</v>
      </c>
      <c r="C510" s="43">
        <v>1310.3</v>
      </c>
      <c r="D510" s="43">
        <v>1397.9</v>
      </c>
      <c r="E510" s="43">
        <v>1415.3</v>
      </c>
      <c r="F510" s="43">
        <v>1292</v>
      </c>
      <c r="H510" s="22">
        <v>-6.2700000000000006E-2</v>
      </c>
      <c r="I510" s="34">
        <f t="shared" si="10"/>
        <v>-4.8180344776779238E-2</v>
      </c>
    </row>
    <row r="511" spans="2:9" x14ac:dyDescent="0.35">
      <c r="B511" s="42">
        <v>41061</v>
      </c>
      <c r="C511" s="43">
        <v>1362.2</v>
      </c>
      <c r="D511" s="43">
        <v>1309.9000000000001</v>
      </c>
      <c r="E511" s="43">
        <v>1363.5</v>
      </c>
      <c r="F511" s="43">
        <v>1266.7</v>
      </c>
      <c r="H511" s="22">
        <v>3.9600000000000003E-2</v>
      </c>
      <c r="I511" s="34">
        <f t="shared" si="10"/>
        <v>-1.958204334365321E-2</v>
      </c>
    </row>
    <row r="512" spans="2:9" x14ac:dyDescent="0.35">
      <c r="B512" s="42">
        <v>41091</v>
      </c>
      <c r="C512" s="43">
        <v>1379.3</v>
      </c>
      <c r="D512" s="43">
        <v>1362.3</v>
      </c>
      <c r="E512" s="43">
        <v>1391.7</v>
      </c>
      <c r="F512" s="43">
        <v>1325.4</v>
      </c>
      <c r="H512" s="22">
        <v>1.26E-2</v>
      </c>
      <c r="I512" s="34">
        <f t="shared" si="10"/>
        <v>4.6340885766164019E-2</v>
      </c>
    </row>
    <row r="513" spans="2:9" x14ac:dyDescent="0.35">
      <c r="B513" s="42">
        <v>41122</v>
      </c>
      <c r="C513" s="43">
        <v>1406.6</v>
      </c>
      <c r="D513" s="43">
        <v>1379.3</v>
      </c>
      <c r="E513" s="43">
        <v>1426.7</v>
      </c>
      <c r="F513" s="43">
        <v>1354.7</v>
      </c>
      <c r="H513" s="22">
        <v>1.9800000000000002E-2</v>
      </c>
      <c r="I513" s="34">
        <f t="shared" si="10"/>
        <v>2.2106533876565582E-2</v>
      </c>
    </row>
    <row r="514" spans="2:9" x14ac:dyDescent="0.35">
      <c r="B514" s="42">
        <v>41153</v>
      </c>
      <c r="C514" s="43">
        <v>1440.7</v>
      </c>
      <c r="D514" s="43">
        <v>1406.5</v>
      </c>
      <c r="E514" s="43">
        <v>1474.5</v>
      </c>
      <c r="F514" s="43">
        <v>1396.6</v>
      </c>
      <c r="H514" s="22">
        <v>2.4199999999999999E-2</v>
      </c>
      <c r="I514" s="34">
        <f t="shared" si="10"/>
        <v>3.0929357053222084E-2</v>
      </c>
    </row>
    <row r="515" spans="2:9" x14ac:dyDescent="0.35">
      <c r="B515" s="42">
        <v>41183</v>
      </c>
      <c r="C515" s="43">
        <v>1412.2</v>
      </c>
      <c r="D515" s="43">
        <v>1440.9</v>
      </c>
      <c r="E515" s="43">
        <v>1471</v>
      </c>
      <c r="F515" s="43">
        <v>1403.3</v>
      </c>
      <c r="H515" s="22">
        <v>-1.9800000000000002E-2</v>
      </c>
      <c r="I515" s="34">
        <f t="shared" si="10"/>
        <v>4.7973650293571257E-3</v>
      </c>
    </row>
    <row r="516" spans="2:9" x14ac:dyDescent="0.35">
      <c r="B516" s="42">
        <v>41214</v>
      </c>
      <c r="C516" s="43">
        <v>1416.2</v>
      </c>
      <c r="D516" s="43">
        <v>1412.2</v>
      </c>
      <c r="E516" s="43">
        <v>1434.3</v>
      </c>
      <c r="F516" s="43">
        <v>1343.3</v>
      </c>
      <c r="H516" s="22">
        <v>2.8E-3</v>
      </c>
      <c r="I516" s="34">
        <f t="shared" si="10"/>
        <v>-4.275636000855132E-2</v>
      </c>
    </row>
    <row r="517" spans="2:9" x14ac:dyDescent="0.35">
      <c r="B517" s="42">
        <v>41244</v>
      </c>
      <c r="C517" s="43">
        <v>1426.2</v>
      </c>
      <c r="D517" s="43">
        <v>1416.3</v>
      </c>
      <c r="E517" s="43">
        <v>1448</v>
      </c>
      <c r="F517" s="43">
        <v>1398.1</v>
      </c>
      <c r="H517" s="22">
        <v>7.1000000000000004E-3</v>
      </c>
      <c r="I517" s="34">
        <f t="shared" ref="I517:I580" si="11">F517/F516-1</f>
        <v>4.0795056949303854E-2</v>
      </c>
    </row>
    <row r="518" spans="2:9" x14ac:dyDescent="0.35">
      <c r="B518" s="42">
        <v>41275</v>
      </c>
      <c r="C518" s="43">
        <v>1498.1</v>
      </c>
      <c r="D518" s="43">
        <v>1426.2</v>
      </c>
      <c r="E518" s="43">
        <v>1509.9</v>
      </c>
      <c r="F518" s="43">
        <v>1426.2</v>
      </c>
      <c r="H518" s="22">
        <v>5.04E-2</v>
      </c>
      <c r="I518" s="34">
        <f t="shared" si="11"/>
        <v>2.0098705385880988E-2</v>
      </c>
    </row>
    <row r="519" spans="2:9" x14ac:dyDescent="0.35">
      <c r="B519" s="42">
        <v>41306</v>
      </c>
      <c r="C519" s="43">
        <v>1514.7</v>
      </c>
      <c r="D519" s="43">
        <v>1498.1</v>
      </c>
      <c r="E519" s="43">
        <v>1530.9</v>
      </c>
      <c r="F519" s="43">
        <v>1485</v>
      </c>
      <c r="H519" s="22">
        <v>1.11E-2</v>
      </c>
      <c r="I519" s="34">
        <f t="shared" si="11"/>
        <v>4.1228439209087142E-2</v>
      </c>
    </row>
    <row r="520" spans="2:9" x14ac:dyDescent="0.35">
      <c r="B520" s="42">
        <v>41334</v>
      </c>
      <c r="C520" s="43">
        <v>1569.2</v>
      </c>
      <c r="D520" s="43">
        <v>1514.7</v>
      </c>
      <c r="E520" s="43">
        <v>1570.3</v>
      </c>
      <c r="F520" s="43">
        <v>1501.5</v>
      </c>
      <c r="H520" s="22">
        <v>3.5999999999999997E-2</v>
      </c>
      <c r="I520" s="34">
        <f t="shared" si="11"/>
        <v>1.1111111111111072E-2</v>
      </c>
    </row>
    <row r="521" spans="2:9" x14ac:dyDescent="0.35">
      <c r="B521" s="42">
        <v>41365</v>
      </c>
      <c r="C521" s="43">
        <v>1597.6</v>
      </c>
      <c r="D521" s="43">
        <v>1569.2</v>
      </c>
      <c r="E521" s="43">
        <v>1597.6</v>
      </c>
      <c r="F521" s="43">
        <v>1536</v>
      </c>
      <c r="H521" s="22">
        <v>1.8100000000000002E-2</v>
      </c>
      <c r="I521" s="34">
        <f t="shared" si="11"/>
        <v>2.2977022977022976E-2</v>
      </c>
    </row>
    <row r="522" spans="2:9" x14ac:dyDescent="0.35">
      <c r="B522" s="42">
        <v>41395</v>
      </c>
      <c r="C522" s="43">
        <v>1630.7</v>
      </c>
      <c r="D522" s="43">
        <v>1597.5</v>
      </c>
      <c r="E522" s="43">
        <v>1687.2</v>
      </c>
      <c r="F522" s="43">
        <v>1581.3</v>
      </c>
      <c r="H522" s="22">
        <v>2.07E-2</v>
      </c>
      <c r="I522" s="34">
        <f t="shared" si="11"/>
        <v>2.9492187500000044E-2</v>
      </c>
    </row>
    <row r="523" spans="2:9" x14ac:dyDescent="0.35">
      <c r="B523" s="42">
        <v>41426</v>
      </c>
      <c r="C523" s="43">
        <v>1606.3</v>
      </c>
      <c r="D523" s="43">
        <v>1631.7</v>
      </c>
      <c r="E523" s="43">
        <v>1654.2</v>
      </c>
      <c r="F523" s="43">
        <v>1560.3</v>
      </c>
      <c r="H523" s="22">
        <v>-1.4999999999999999E-2</v>
      </c>
      <c r="I523" s="34">
        <f t="shared" si="11"/>
        <v>-1.3280212483399723E-2</v>
      </c>
    </row>
    <row r="524" spans="2:9" x14ac:dyDescent="0.35">
      <c r="B524" s="42">
        <v>41456</v>
      </c>
      <c r="C524" s="43">
        <v>1685.7</v>
      </c>
      <c r="D524" s="43">
        <v>1609.8</v>
      </c>
      <c r="E524" s="43">
        <v>1698.8</v>
      </c>
      <c r="F524" s="43">
        <v>1604.6</v>
      </c>
      <c r="H524" s="22">
        <v>4.9399999999999999E-2</v>
      </c>
      <c r="I524" s="34">
        <f t="shared" si="11"/>
        <v>2.8391975902070099E-2</v>
      </c>
    </row>
    <row r="525" spans="2:9" x14ac:dyDescent="0.35">
      <c r="B525" s="42">
        <v>41487</v>
      </c>
      <c r="C525" s="43">
        <v>1633</v>
      </c>
      <c r="D525" s="43">
        <v>1689.4</v>
      </c>
      <c r="E525" s="43">
        <v>1709.7</v>
      </c>
      <c r="F525" s="43">
        <v>1627.5</v>
      </c>
      <c r="H525" s="22">
        <v>-3.1300000000000001E-2</v>
      </c>
      <c r="I525" s="34">
        <f t="shared" si="11"/>
        <v>1.4271469525115377E-2</v>
      </c>
    </row>
    <row r="526" spans="2:9" x14ac:dyDescent="0.35">
      <c r="B526" s="42">
        <v>41518</v>
      </c>
      <c r="C526" s="43">
        <v>1681.5</v>
      </c>
      <c r="D526" s="43">
        <v>1636</v>
      </c>
      <c r="E526" s="43">
        <v>1729.9</v>
      </c>
      <c r="F526" s="43">
        <v>1633.4</v>
      </c>
      <c r="H526" s="22">
        <v>2.9700000000000001E-2</v>
      </c>
      <c r="I526" s="34">
        <f t="shared" si="11"/>
        <v>3.6251920122889469E-3</v>
      </c>
    </row>
    <row r="527" spans="2:9" x14ac:dyDescent="0.35">
      <c r="B527" s="42">
        <v>41548</v>
      </c>
      <c r="C527" s="43">
        <v>1756.5</v>
      </c>
      <c r="D527" s="43">
        <v>1682.4</v>
      </c>
      <c r="E527" s="43">
        <v>1775.2</v>
      </c>
      <c r="F527" s="43">
        <v>1646.5</v>
      </c>
      <c r="H527" s="22">
        <v>4.4600000000000001E-2</v>
      </c>
      <c r="I527" s="34">
        <f t="shared" si="11"/>
        <v>8.0200808130279633E-3</v>
      </c>
    </row>
    <row r="528" spans="2:9" x14ac:dyDescent="0.35">
      <c r="B528" s="42">
        <v>41579</v>
      </c>
      <c r="C528" s="43">
        <v>1805.8</v>
      </c>
      <c r="D528" s="43">
        <v>1758.7</v>
      </c>
      <c r="E528" s="43">
        <v>1813.5</v>
      </c>
      <c r="F528" s="43">
        <v>1746.2</v>
      </c>
      <c r="H528" s="22">
        <v>2.81E-2</v>
      </c>
      <c r="I528" s="34">
        <f t="shared" si="11"/>
        <v>6.0552687518979686E-2</v>
      </c>
    </row>
    <row r="529" spans="2:9" x14ac:dyDescent="0.35">
      <c r="B529" s="42">
        <v>41609</v>
      </c>
      <c r="C529" s="43">
        <v>1848.4</v>
      </c>
      <c r="D529" s="43">
        <v>1806.5</v>
      </c>
      <c r="E529" s="43">
        <v>1849.4</v>
      </c>
      <c r="F529" s="43">
        <v>1768</v>
      </c>
      <c r="H529" s="22">
        <v>2.3599999999999999E-2</v>
      </c>
      <c r="I529" s="34">
        <f t="shared" si="11"/>
        <v>1.2484251517580924E-2</v>
      </c>
    </row>
    <row r="530" spans="2:9" x14ac:dyDescent="0.35">
      <c r="B530" s="42">
        <v>41640</v>
      </c>
      <c r="C530" s="43">
        <v>1782.6</v>
      </c>
      <c r="D530" s="43">
        <v>1845.9</v>
      </c>
      <c r="E530" s="43">
        <v>1850.8</v>
      </c>
      <c r="F530" s="43">
        <v>1770.5</v>
      </c>
      <c r="H530" s="22">
        <v>-3.56E-2</v>
      </c>
      <c r="I530" s="34">
        <f t="shared" si="11"/>
        <v>1.4140271493212619E-3</v>
      </c>
    </row>
    <row r="531" spans="2:9" x14ac:dyDescent="0.35">
      <c r="B531" s="42">
        <v>41671</v>
      </c>
      <c r="C531" s="43">
        <v>1859.45</v>
      </c>
      <c r="D531" s="43">
        <v>1782.68</v>
      </c>
      <c r="E531" s="43">
        <v>1867.92</v>
      </c>
      <c r="F531" s="43">
        <v>1737.92</v>
      </c>
      <c r="H531" s="22">
        <v>4.3099999999999999E-2</v>
      </c>
      <c r="I531" s="34">
        <f t="shared" si="11"/>
        <v>-1.8401581474159823E-2</v>
      </c>
    </row>
    <row r="532" spans="2:9" x14ac:dyDescent="0.35">
      <c r="B532" s="42">
        <v>41699</v>
      </c>
      <c r="C532" s="43">
        <v>1872.34</v>
      </c>
      <c r="D532" s="43">
        <v>1857.68</v>
      </c>
      <c r="E532" s="43">
        <v>1883.97</v>
      </c>
      <c r="F532" s="43">
        <v>1834.44</v>
      </c>
      <c r="H532" s="22">
        <v>6.8999999999999999E-3</v>
      </c>
      <c r="I532" s="34">
        <f t="shared" si="11"/>
        <v>5.5537654207328258E-2</v>
      </c>
    </row>
    <row r="533" spans="2:9" x14ac:dyDescent="0.35">
      <c r="B533" s="42">
        <v>41730</v>
      </c>
      <c r="C533" s="43">
        <v>1883.95</v>
      </c>
      <c r="D533" s="43">
        <v>1873.96</v>
      </c>
      <c r="E533" s="43">
        <v>1897.28</v>
      </c>
      <c r="F533" s="43">
        <v>1814.36</v>
      </c>
      <c r="H533" s="22">
        <v>6.1999999999999998E-3</v>
      </c>
      <c r="I533" s="34">
        <f t="shared" si="11"/>
        <v>-1.0946119796777287E-2</v>
      </c>
    </row>
    <row r="534" spans="2:9" x14ac:dyDescent="0.35">
      <c r="B534" s="42">
        <v>41760</v>
      </c>
      <c r="C534" s="43">
        <v>1923.57</v>
      </c>
      <c r="D534" s="43">
        <v>1884.39</v>
      </c>
      <c r="E534" s="43">
        <v>1924.03</v>
      </c>
      <c r="F534" s="43">
        <v>1859.79</v>
      </c>
      <c r="H534" s="22">
        <v>2.1000000000000001E-2</v>
      </c>
      <c r="I534" s="34">
        <f t="shared" si="11"/>
        <v>2.5039132256002183E-2</v>
      </c>
    </row>
    <row r="535" spans="2:9" x14ac:dyDescent="0.35">
      <c r="B535" s="42">
        <v>41791</v>
      </c>
      <c r="C535" s="43">
        <v>1960.23</v>
      </c>
      <c r="D535" s="43">
        <v>1923.87</v>
      </c>
      <c r="E535" s="43">
        <v>1968.17</v>
      </c>
      <c r="F535" s="43">
        <v>1915.98</v>
      </c>
      <c r="H535" s="22">
        <v>1.9099999999999999E-2</v>
      </c>
      <c r="I535" s="34">
        <f t="shared" si="11"/>
        <v>3.0213088574516433E-2</v>
      </c>
    </row>
    <row r="536" spans="2:9" x14ac:dyDescent="0.35">
      <c r="B536" s="42">
        <v>41821</v>
      </c>
      <c r="C536" s="43">
        <v>1930.67</v>
      </c>
      <c r="D536" s="43">
        <v>1962.29</v>
      </c>
      <c r="E536" s="43">
        <v>1991.39</v>
      </c>
      <c r="F536" s="43">
        <v>1930.67</v>
      </c>
      <c r="H536" s="22">
        <v>-1.5100000000000001E-2</v>
      </c>
      <c r="I536" s="34">
        <f t="shared" si="11"/>
        <v>7.6670946460819511E-3</v>
      </c>
    </row>
    <row r="537" spans="2:9" x14ac:dyDescent="0.35">
      <c r="B537" s="42">
        <v>41852</v>
      </c>
      <c r="C537" s="43">
        <v>2003.37</v>
      </c>
      <c r="D537" s="43">
        <v>1929.8</v>
      </c>
      <c r="E537" s="43">
        <v>2005.04</v>
      </c>
      <c r="F537" s="43">
        <v>1904.78</v>
      </c>
      <c r="H537" s="22">
        <v>3.7699999999999997E-2</v>
      </c>
      <c r="I537" s="34">
        <f t="shared" si="11"/>
        <v>-1.3409852538238121E-2</v>
      </c>
    </row>
    <row r="538" spans="2:9" x14ac:dyDescent="0.35">
      <c r="B538" s="42">
        <v>41883</v>
      </c>
      <c r="C538" s="43">
        <v>1972.29</v>
      </c>
      <c r="D538" s="43">
        <v>2004.07</v>
      </c>
      <c r="E538" s="43">
        <v>2019.26</v>
      </c>
      <c r="F538" s="43">
        <v>1964.04</v>
      </c>
      <c r="H538" s="22">
        <v>-1.55E-2</v>
      </c>
      <c r="I538" s="34">
        <f t="shared" si="11"/>
        <v>3.1111204443557749E-2</v>
      </c>
    </row>
    <row r="539" spans="2:9" x14ac:dyDescent="0.35">
      <c r="B539" s="42">
        <v>41913</v>
      </c>
      <c r="C539" s="43">
        <v>2018.05</v>
      </c>
      <c r="D539" s="43">
        <v>1971.44</v>
      </c>
      <c r="E539" s="43">
        <v>2018.19</v>
      </c>
      <c r="F539" s="43">
        <v>1820.66</v>
      </c>
      <c r="H539" s="22">
        <v>2.3199999999999998E-2</v>
      </c>
      <c r="I539" s="34">
        <f t="shared" si="11"/>
        <v>-7.3002586505366396E-2</v>
      </c>
    </row>
    <row r="540" spans="2:9" x14ac:dyDescent="0.35">
      <c r="B540" s="42">
        <v>41944</v>
      </c>
      <c r="C540" s="43">
        <v>2067.56</v>
      </c>
      <c r="D540" s="43">
        <v>2018.21</v>
      </c>
      <c r="E540" s="43">
        <v>2075.7600000000002</v>
      </c>
      <c r="F540" s="43">
        <v>2001.01</v>
      </c>
      <c r="H540" s="22">
        <v>2.4500000000000001E-2</v>
      </c>
      <c r="I540" s="34">
        <f t="shared" si="11"/>
        <v>9.9057484648424232E-2</v>
      </c>
    </row>
    <row r="541" spans="2:9" x14ac:dyDescent="0.35">
      <c r="B541" s="42">
        <v>41974</v>
      </c>
      <c r="C541" s="43">
        <v>2058.9</v>
      </c>
      <c r="D541" s="43">
        <v>2065.7800000000002</v>
      </c>
      <c r="E541" s="43">
        <v>2093.5500000000002</v>
      </c>
      <c r="F541" s="43">
        <v>1972.56</v>
      </c>
      <c r="H541" s="22">
        <v>-4.1999999999999997E-3</v>
      </c>
      <c r="I541" s="34">
        <f t="shared" si="11"/>
        <v>-1.421782000089955E-2</v>
      </c>
    </row>
    <row r="542" spans="2:9" x14ac:dyDescent="0.35">
      <c r="B542" s="42">
        <v>42005</v>
      </c>
      <c r="C542" s="43">
        <v>1994.99</v>
      </c>
      <c r="D542" s="43">
        <v>2058.9</v>
      </c>
      <c r="E542" s="43">
        <v>2072.36</v>
      </c>
      <c r="F542" s="43">
        <v>1988.12</v>
      </c>
      <c r="H542" s="22">
        <v>-3.1E-2</v>
      </c>
      <c r="I542" s="34">
        <f t="shared" si="11"/>
        <v>7.8882264671289448E-3</v>
      </c>
    </row>
    <row r="543" spans="2:9" x14ac:dyDescent="0.35">
      <c r="B543" s="42">
        <v>42036</v>
      </c>
      <c r="C543" s="43">
        <v>2104.5</v>
      </c>
      <c r="D543" s="43">
        <v>1996.67</v>
      </c>
      <c r="E543" s="43">
        <v>2119.59</v>
      </c>
      <c r="F543" s="43">
        <v>1980.9</v>
      </c>
      <c r="H543" s="22">
        <v>5.4899999999999997E-2</v>
      </c>
      <c r="I543" s="34">
        <f t="shared" si="11"/>
        <v>-3.6315715349173328E-3</v>
      </c>
    </row>
    <row r="544" spans="2:9" x14ac:dyDescent="0.35">
      <c r="B544" s="42">
        <v>42064</v>
      </c>
      <c r="C544" s="43">
        <v>2067.89</v>
      </c>
      <c r="D544" s="43">
        <v>2105.23</v>
      </c>
      <c r="E544" s="43">
        <v>2117.52</v>
      </c>
      <c r="F544" s="43">
        <v>2039.69</v>
      </c>
      <c r="H544" s="22">
        <v>-1.7399999999999999E-2</v>
      </c>
      <c r="I544" s="34">
        <f t="shared" si="11"/>
        <v>2.9678428996920525E-2</v>
      </c>
    </row>
    <row r="545" spans="2:9" x14ac:dyDescent="0.35">
      <c r="B545" s="42">
        <v>42095</v>
      </c>
      <c r="C545" s="43">
        <v>2085.5100000000002</v>
      </c>
      <c r="D545" s="43">
        <v>2067.63</v>
      </c>
      <c r="E545" s="43">
        <v>2125.92</v>
      </c>
      <c r="F545" s="43">
        <v>2048.38</v>
      </c>
      <c r="H545" s="22">
        <v>8.5000000000000006E-3</v>
      </c>
      <c r="I545" s="34">
        <f t="shared" si="11"/>
        <v>4.2604513430963831E-3</v>
      </c>
    </row>
    <row r="546" spans="2:9" x14ac:dyDescent="0.35">
      <c r="B546" s="42">
        <v>42125</v>
      </c>
      <c r="C546" s="43">
        <v>2107.39</v>
      </c>
      <c r="D546" s="43">
        <v>2087.38</v>
      </c>
      <c r="E546" s="43">
        <v>2134.7199999999998</v>
      </c>
      <c r="F546" s="43">
        <v>2067.9299999999998</v>
      </c>
      <c r="H546" s="22">
        <v>1.0500000000000001E-2</v>
      </c>
      <c r="I546" s="34">
        <f t="shared" si="11"/>
        <v>9.5441275544574378E-3</v>
      </c>
    </row>
    <row r="547" spans="2:9" x14ac:dyDescent="0.35">
      <c r="B547" s="42">
        <v>42156</v>
      </c>
      <c r="C547" s="43">
        <v>2063.11</v>
      </c>
      <c r="D547" s="43">
        <v>2108.64</v>
      </c>
      <c r="E547" s="43">
        <v>2129.87</v>
      </c>
      <c r="F547" s="43">
        <v>2056.3200000000002</v>
      </c>
      <c r="H547" s="22">
        <v>-2.1000000000000001E-2</v>
      </c>
      <c r="I547" s="34">
        <f t="shared" si="11"/>
        <v>-5.614309962135855E-3</v>
      </c>
    </row>
    <row r="548" spans="2:9" x14ac:dyDescent="0.35">
      <c r="B548" s="42">
        <v>42186</v>
      </c>
      <c r="C548" s="43">
        <v>2103.84</v>
      </c>
      <c r="D548" s="43">
        <v>2067</v>
      </c>
      <c r="E548" s="43">
        <v>2132.8200000000002</v>
      </c>
      <c r="F548" s="43">
        <v>2044.02</v>
      </c>
      <c r="H548" s="22">
        <v>1.9699999999999999E-2</v>
      </c>
      <c r="I548" s="34">
        <f t="shared" si="11"/>
        <v>-5.9815592903829096E-3</v>
      </c>
    </row>
    <row r="549" spans="2:9" x14ac:dyDescent="0.35">
      <c r="B549" s="42">
        <v>42217</v>
      </c>
      <c r="C549" s="43">
        <v>1972.18</v>
      </c>
      <c r="D549" s="43">
        <v>2104.4899999999998</v>
      </c>
      <c r="E549" s="43">
        <v>2112.66</v>
      </c>
      <c r="F549" s="43">
        <v>1867.01</v>
      </c>
      <c r="H549" s="22">
        <v>-6.2600000000000003E-2</v>
      </c>
      <c r="I549" s="34">
        <f t="shared" si="11"/>
        <v>-8.65989569573683E-2</v>
      </c>
    </row>
    <row r="550" spans="2:9" x14ac:dyDescent="0.35">
      <c r="B550" s="42">
        <v>42248</v>
      </c>
      <c r="C550" s="43">
        <v>1920.03</v>
      </c>
      <c r="D550" s="43">
        <v>1970.09</v>
      </c>
      <c r="E550" s="43">
        <v>2020.86</v>
      </c>
      <c r="F550" s="43">
        <v>1871.91</v>
      </c>
      <c r="H550" s="22">
        <v>-2.64E-2</v>
      </c>
      <c r="I550" s="34">
        <f t="shared" si="11"/>
        <v>2.6245172762866531E-3</v>
      </c>
    </row>
    <row r="551" spans="2:9" x14ac:dyDescent="0.35">
      <c r="B551" s="42">
        <v>42278</v>
      </c>
      <c r="C551" s="43">
        <v>2079.36</v>
      </c>
      <c r="D551" s="43">
        <v>1919.65</v>
      </c>
      <c r="E551" s="43">
        <v>2094.3200000000002</v>
      </c>
      <c r="F551" s="43">
        <v>1893.7</v>
      </c>
      <c r="H551" s="22">
        <v>8.3000000000000004E-2</v>
      </c>
      <c r="I551" s="34">
        <f t="shared" si="11"/>
        <v>1.1640516905192966E-2</v>
      </c>
    </row>
    <row r="552" spans="2:9" x14ac:dyDescent="0.35">
      <c r="B552" s="42">
        <v>42309</v>
      </c>
      <c r="C552" s="43">
        <v>2080.41</v>
      </c>
      <c r="D552" s="43">
        <v>2080.7600000000002</v>
      </c>
      <c r="E552" s="43">
        <v>2116.48</v>
      </c>
      <c r="F552" s="43">
        <v>2019.39</v>
      </c>
      <c r="H552" s="22">
        <v>5.0000000000000001E-4</v>
      </c>
      <c r="I552" s="34">
        <f t="shared" si="11"/>
        <v>6.6372709510482242E-2</v>
      </c>
    </row>
    <row r="553" spans="2:9" x14ac:dyDescent="0.35">
      <c r="B553" s="42">
        <v>42339</v>
      </c>
      <c r="C553" s="43">
        <v>2043.94</v>
      </c>
      <c r="D553" s="43">
        <v>2082.9299999999998</v>
      </c>
      <c r="E553" s="43">
        <v>2104.27</v>
      </c>
      <c r="F553" s="43">
        <v>1993.26</v>
      </c>
      <c r="H553" s="22">
        <v>-1.7500000000000002E-2</v>
      </c>
      <c r="I553" s="34">
        <f t="shared" si="11"/>
        <v>-1.2939551052545628E-2</v>
      </c>
    </row>
    <row r="554" spans="2:9" x14ac:dyDescent="0.35">
      <c r="B554" s="42">
        <v>42370</v>
      </c>
      <c r="C554" s="43">
        <v>1940.24</v>
      </c>
      <c r="D554" s="43">
        <v>2038.2</v>
      </c>
      <c r="E554" s="43">
        <v>2038.2</v>
      </c>
      <c r="F554" s="43">
        <v>1812.29</v>
      </c>
      <c r="H554" s="22">
        <v>-5.0700000000000002E-2</v>
      </c>
      <c r="I554" s="34">
        <f t="shared" si="11"/>
        <v>-9.0790965553916747E-2</v>
      </c>
    </row>
    <row r="555" spans="2:9" x14ac:dyDescent="0.35">
      <c r="B555" s="42">
        <v>42401</v>
      </c>
      <c r="C555" s="43">
        <v>1932.23</v>
      </c>
      <c r="D555" s="43">
        <v>1936.94</v>
      </c>
      <c r="E555" s="43">
        <v>1962.96</v>
      </c>
      <c r="F555" s="43">
        <v>1810.1</v>
      </c>
      <c r="H555" s="22">
        <v>-4.1000000000000003E-3</v>
      </c>
      <c r="I555" s="34">
        <f t="shared" si="11"/>
        <v>-1.208415871632007E-3</v>
      </c>
    </row>
    <row r="556" spans="2:9" x14ac:dyDescent="0.35">
      <c r="B556" s="42">
        <v>42430</v>
      </c>
      <c r="C556" s="43">
        <v>2059.7399999999998</v>
      </c>
      <c r="D556" s="43">
        <v>1937.09</v>
      </c>
      <c r="E556" s="43">
        <v>2072.21</v>
      </c>
      <c r="F556" s="43">
        <v>1937.09</v>
      </c>
      <c r="H556" s="22">
        <v>6.6000000000000003E-2</v>
      </c>
      <c r="I556" s="34">
        <f t="shared" si="11"/>
        <v>7.0156344953317573E-2</v>
      </c>
    </row>
    <row r="557" spans="2:9" x14ac:dyDescent="0.35">
      <c r="B557" s="42">
        <v>42461</v>
      </c>
      <c r="C557" s="43">
        <v>2065.3000000000002</v>
      </c>
      <c r="D557" s="43">
        <v>2056.62</v>
      </c>
      <c r="E557" s="43">
        <v>2111.0500000000002</v>
      </c>
      <c r="F557" s="43">
        <v>2033.8</v>
      </c>
      <c r="H557" s="22">
        <v>2.7000000000000001E-3</v>
      </c>
      <c r="I557" s="34">
        <f t="shared" si="11"/>
        <v>4.9925403569271554E-2</v>
      </c>
    </row>
    <row r="558" spans="2:9" x14ac:dyDescent="0.35">
      <c r="B558" s="42">
        <v>42491</v>
      </c>
      <c r="C558" s="43">
        <v>2096.96</v>
      </c>
      <c r="D558" s="43">
        <v>2067.17</v>
      </c>
      <c r="E558" s="43">
        <v>2103.48</v>
      </c>
      <c r="F558" s="43">
        <v>2025.91</v>
      </c>
      <c r="H558" s="22">
        <v>1.5299999999999999E-2</v>
      </c>
      <c r="I558" s="34">
        <f t="shared" si="11"/>
        <v>-3.8794375061460551E-3</v>
      </c>
    </row>
    <row r="559" spans="2:9" x14ac:dyDescent="0.35">
      <c r="B559" s="42">
        <v>42522</v>
      </c>
      <c r="C559" s="43">
        <v>2098.86</v>
      </c>
      <c r="D559" s="43">
        <v>2093.94</v>
      </c>
      <c r="E559" s="43">
        <v>2120.5500000000002</v>
      </c>
      <c r="F559" s="43">
        <v>1991.68</v>
      </c>
      <c r="H559" s="22">
        <v>8.9999999999999998E-4</v>
      </c>
      <c r="I559" s="34">
        <f t="shared" si="11"/>
        <v>-1.6896110883504178E-2</v>
      </c>
    </row>
    <row r="560" spans="2:9" x14ac:dyDescent="0.35">
      <c r="B560" s="42">
        <v>42552</v>
      </c>
      <c r="C560" s="43">
        <v>2173.6</v>
      </c>
      <c r="D560" s="43">
        <v>2099.34</v>
      </c>
      <c r="E560" s="43">
        <v>2177.09</v>
      </c>
      <c r="F560" s="43">
        <v>2074.02</v>
      </c>
      <c r="H560" s="22">
        <v>3.56E-2</v>
      </c>
      <c r="I560" s="34">
        <f t="shared" si="11"/>
        <v>4.1341982647814968E-2</v>
      </c>
    </row>
    <row r="561" spans="2:9" x14ac:dyDescent="0.35">
      <c r="B561" s="42">
        <v>42583</v>
      </c>
      <c r="C561" s="43">
        <v>2170.9499999999998</v>
      </c>
      <c r="D561" s="43">
        <v>2173.15</v>
      </c>
      <c r="E561" s="43">
        <v>2193.81</v>
      </c>
      <c r="F561" s="43">
        <v>2147.58</v>
      </c>
      <c r="H561" s="22">
        <v>-1.1999999999999999E-3</v>
      </c>
      <c r="I561" s="34">
        <f t="shared" si="11"/>
        <v>3.5467353255995482E-2</v>
      </c>
    </row>
    <row r="562" spans="2:9" x14ac:dyDescent="0.35">
      <c r="B562" s="42">
        <v>42614</v>
      </c>
      <c r="C562" s="43">
        <v>2168.27</v>
      </c>
      <c r="D562" s="43">
        <v>2171.33</v>
      </c>
      <c r="E562" s="43">
        <v>2187.87</v>
      </c>
      <c r="F562" s="43">
        <v>2119.12</v>
      </c>
      <c r="H562" s="22">
        <v>-1.1999999999999999E-3</v>
      </c>
      <c r="I562" s="34">
        <f t="shared" si="11"/>
        <v>-1.3252125648404278E-2</v>
      </c>
    </row>
    <row r="563" spans="2:9" x14ac:dyDescent="0.35">
      <c r="B563" s="42">
        <v>42644</v>
      </c>
      <c r="C563" s="43">
        <v>2126.15</v>
      </c>
      <c r="D563" s="43">
        <v>2164.33</v>
      </c>
      <c r="E563" s="43">
        <v>2169.6</v>
      </c>
      <c r="F563" s="43">
        <v>2114.7199999999998</v>
      </c>
      <c r="H563" s="22">
        <v>-1.9400000000000001E-2</v>
      </c>
      <c r="I563" s="34">
        <f t="shared" si="11"/>
        <v>-2.0763335724263143E-3</v>
      </c>
    </row>
    <row r="564" spans="2:9" x14ac:dyDescent="0.35">
      <c r="B564" s="42">
        <v>42675</v>
      </c>
      <c r="C564" s="43">
        <v>2198.81</v>
      </c>
      <c r="D564" s="43">
        <v>2128.6799999999998</v>
      </c>
      <c r="E564" s="43">
        <v>2214.1</v>
      </c>
      <c r="F564" s="43">
        <v>2083.79</v>
      </c>
      <c r="H564" s="22">
        <v>3.4200000000000001E-2</v>
      </c>
      <c r="I564" s="34">
        <f t="shared" si="11"/>
        <v>-1.4626049784368544E-2</v>
      </c>
    </row>
    <row r="565" spans="2:9" x14ac:dyDescent="0.35">
      <c r="B565" s="42">
        <v>42705</v>
      </c>
      <c r="C565" s="43">
        <v>2238.83</v>
      </c>
      <c r="D565" s="43">
        <v>2200.17</v>
      </c>
      <c r="E565" s="43">
        <v>2277.5300000000002</v>
      </c>
      <c r="F565" s="43">
        <v>2187.44</v>
      </c>
      <c r="H565" s="22">
        <v>1.8200000000000001E-2</v>
      </c>
      <c r="I565" s="34">
        <f t="shared" si="11"/>
        <v>4.9741096751592107E-2</v>
      </c>
    </row>
    <row r="566" spans="2:9" x14ac:dyDescent="0.35">
      <c r="B566" s="42">
        <v>42736</v>
      </c>
      <c r="C566" s="43">
        <v>2278.87</v>
      </c>
      <c r="D566" s="43">
        <v>2251.5700000000002</v>
      </c>
      <c r="E566" s="43">
        <v>2300.9899999999998</v>
      </c>
      <c r="F566" s="43">
        <v>2245.13</v>
      </c>
      <c r="H566" s="22">
        <v>1.7899999999999999E-2</v>
      </c>
      <c r="I566" s="34">
        <f t="shared" si="11"/>
        <v>2.6373294810371872E-2</v>
      </c>
    </row>
    <row r="567" spans="2:9" x14ac:dyDescent="0.35">
      <c r="B567" s="42">
        <v>42767</v>
      </c>
      <c r="C567" s="43">
        <v>2363.64</v>
      </c>
      <c r="D567" s="43">
        <v>2285.59</v>
      </c>
      <c r="E567" s="43">
        <v>2371.54</v>
      </c>
      <c r="F567" s="43">
        <v>2271.65</v>
      </c>
      <c r="H567" s="22">
        <v>3.7199999999999997E-2</v>
      </c>
      <c r="I567" s="34">
        <f t="shared" si="11"/>
        <v>1.1812233590037025E-2</v>
      </c>
    </row>
    <row r="568" spans="2:9" x14ac:dyDescent="0.35">
      <c r="B568" s="42">
        <v>42795</v>
      </c>
      <c r="C568" s="43">
        <v>2362.7199999999998</v>
      </c>
      <c r="D568" s="43">
        <v>2380.13</v>
      </c>
      <c r="E568" s="43">
        <v>2400.98</v>
      </c>
      <c r="F568" s="43">
        <v>2322.25</v>
      </c>
      <c r="H568" s="22">
        <v>-4.0000000000000002E-4</v>
      </c>
      <c r="I568" s="34">
        <f t="shared" si="11"/>
        <v>2.2274558140558565E-2</v>
      </c>
    </row>
    <row r="569" spans="2:9" x14ac:dyDescent="0.35">
      <c r="B569" s="42">
        <v>42826</v>
      </c>
      <c r="C569" s="43">
        <v>2384.1999999999998</v>
      </c>
      <c r="D569" s="43">
        <v>2362.34</v>
      </c>
      <c r="E569" s="43">
        <v>2398.16</v>
      </c>
      <c r="F569" s="43">
        <v>2328.9499999999998</v>
      </c>
      <c r="H569" s="22">
        <v>9.1000000000000004E-3</v>
      </c>
      <c r="I569" s="34">
        <f t="shared" si="11"/>
        <v>2.8851329529551162E-3</v>
      </c>
    </row>
    <row r="570" spans="2:9" x14ac:dyDescent="0.35">
      <c r="B570" s="42">
        <v>42856</v>
      </c>
      <c r="C570" s="43">
        <v>2411.8000000000002</v>
      </c>
      <c r="D570" s="43">
        <v>2388.5</v>
      </c>
      <c r="E570" s="43">
        <v>2418.71</v>
      </c>
      <c r="F570" s="43">
        <v>2352.7199999999998</v>
      </c>
      <c r="H570" s="22">
        <v>1.1599999999999999E-2</v>
      </c>
      <c r="I570" s="34">
        <f t="shared" si="11"/>
        <v>1.0206316151055272E-2</v>
      </c>
    </row>
    <row r="571" spans="2:9" x14ac:dyDescent="0.35">
      <c r="B571" s="42">
        <v>42887</v>
      </c>
      <c r="C571" s="43">
        <v>2423.41</v>
      </c>
      <c r="D571" s="43">
        <v>2415.65</v>
      </c>
      <c r="E571" s="43">
        <v>2453.8200000000002</v>
      </c>
      <c r="F571" s="43">
        <v>2405.6999999999998</v>
      </c>
      <c r="H571" s="22">
        <v>4.7999999999999996E-3</v>
      </c>
      <c r="I571" s="34">
        <f t="shared" si="11"/>
        <v>2.2518616749974463E-2</v>
      </c>
    </row>
    <row r="572" spans="2:9" x14ac:dyDescent="0.35">
      <c r="B572" s="42">
        <v>42917</v>
      </c>
      <c r="C572" s="43">
        <v>2470.3000000000002</v>
      </c>
      <c r="D572" s="43">
        <v>2431.39</v>
      </c>
      <c r="E572" s="43">
        <v>2484.04</v>
      </c>
      <c r="F572" s="43">
        <v>2407.6999999999998</v>
      </c>
      <c r="H572" s="22">
        <v>1.9300000000000001E-2</v>
      </c>
      <c r="I572" s="34">
        <f t="shared" si="11"/>
        <v>8.3135885605023496E-4</v>
      </c>
    </row>
    <row r="573" spans="2:9" x14ac:dyDescent="0.35">
      <c r="B573" s="42">
        <v>42948</v>
      </c>
      <c r="C573" s="43">
        <v>2471.65</v>
      </c>
      <c r="D573" s="43">
        <v>2477.1</v>
      </c>
      <c r="E573" s="43">
        <v>2490.87</v>
      </c>
      <c r="F573" s="43">
        <v>2417.35</v>
      </c>
      <c r="H573" s="22">
        <v>5.0000000000000001E-4</v>
      </c>
      <c r="I573" s="34">
        <f t="shared" si="11"/>
        <v>4.0079744154173369E-3</v>
      </c>
    </row>
    <row r="574" spans="2:9" x14ac:dyDescent="0.35">
      <c r="B574" s="42">
        <v>42979</v>
      </c>
      <c r="C574" s="43">
        <v>2519.36</v>
      </c>
      <c r="D574" s="43">
        <v>2474.42</v>
      </c>
      <c r="E574" s="43">
        <v>2519.44</v>
      </c>
      <c r="F574" s="43">
        <v>2446.5500000000002</v>
      </c>
      <c r="H574" s="22">
        <v>1.9300000000000001E-2</v>
      </c>
      <c r="I574" s="34">
        <f t="shared" si="11"/>
        <v>1.2079343082300964E-2</v>
      </c>
    </row>
    <row r="575" spans="2:9" x14ac:dyDescent="0.35">
      <c r="B575" s="42">
        <v>43009</v>
      </c>
      <c r="C575" s="43">
        <v>2575.2600000000002</v>
      </c>
      <c r="D575" s="43">
        <v>2521.1999999999998</v>
      </c>
      <c r="E575" s="43">
        <v>2582.98</v>
      </c>
      <c r="F575" s="43">
        <v>2520.4</v>
      </c>
      <c r="H575" s="22">
        <v>2.2200000000000001E-2</v>
      </c>
      <c r="I575" s="34">
        <f t="shared" si="11"/>
        <v>3.0185363062271264E-2</v>
      </c>
    </row>
    <row r="576" spans="2:9" x14ac:dyDescent="0.35">
      <c r="B576" s="42">
        <v>43040</v>
      </c>
      <c r="C576" s="43">
        <v>2647.58</v>
      </c>
      <c r="D576" s="43">
        <v>2583.21</v>
      </c>
      <c r="E576" s="43">
        <v>2657.74</v>
      </c>
      <c r="F576" s="43">
        <v>2557.4499999999998</v>
      </c>
      <c r="H576" s="22">
        <v>2.81E-2</v>
      </c>
      <c r="I576" s="34">
        <f t="shared" si="11"/>
        <v>1.4700047611490241E-2</v>
      </c>
    </row>
    <row r="577" spans="2:9" x14ac:dyDescent="0.35">
      <c r="B577" s="42">
        <v>43070</v>
      </c>
      <c r="C577" s="43">
        <v>2673.61</v>
      </c>
      <c r="D577" s="43">
        <v>2645.1</v>
      </c>
      <c r="E577" s="43">
        <v>2694.97</v>
      </c>
      <c r="F577" s="43">
        <v>2605.52</v>
      </c>
      <c r="H577" s="22">
        <v>9.7999999999999997E-3</v>
      </c>
      <c r="I577" s="34">
        <f t="shared" si="11"/>
        <v>1.8796066394259903E-2</v>
      </c>
    </row>
    <row r="578" spans="2:9" x14ac:dyDescent="0.35">
      <c r="B578" s="42">
        <v>43101</v>
      </c>
      <c r="C578" s="43">
        <v>2823.81</v>
      </c>
      <c r="D578" s="43">
        <v>2683.73</v>
      </c>
      <c r="E578" s="43">
        <v>2872.87</v>
      </c>
      <c r="F578" s="43">
        <v>2682.36</v>
      </c>
      <c r="H578" s="22">
        <v>5.62E-2</v>
      </c>
      <c r="I578" s="34">
        <f t="shared" si="11"/>
        <v>2.9491233995517341E-2</v>
      </c>
    </row>
    <row r="579" spans="2:9" x14ac:dyDescent="0.35">
      <c r="B579" s="42">
        <v>43132</v>
      </c>
      <c r="C579" s="43">
        <v>2713.83</v>
      </c>
      <c r="D579" s="43">
        <v>2816.45</v>
      </c>
      <c r="E579" s="43">
        <v>2835.96</v>
      </c>
      <c r="F579" s="43">
        <v>2532.69</v>
      </c>
      <c r="H579" s="22">
        <v>-3.8899999999999997E-2</v>
      </c>
      <c r="I579" s="34">
        <f t="shared" si="11"/>
        <v>-5.5797879479264512E-2</v>
      </c>
    </row>
    <row r="580" spans="2:9" x14ac:dyDescent="0.35">
      <c r="B580" s="42">
        <v>43160</v>
      </c>
      <c r="C580" s="43">
        <v>2640.87</v>
      </c>
      <c r="D580" s="43">
        <v>2715.22</v>
      </c>
      <c r="E580" s="43">
        <v>2801.9</v>
      </c>
      <c r="F580" s="43">
        <v>2585.89</v>
      </c>
      <c r="H580" s="22">
        <v>-2.69E-2</v>
      </c>
      <c r="I580" s="34">
        <f t="shared" si="11"/>
        <v>2.1005334249355245E-2</v>
      </c>
    </row>
    <row r="581" spans="2:9" x14ac:dyDescent="0.35">
      <c r="B581" s="42">
        <v>43191</v>
      </c>
      <c r="C581" s="43">
        <v>2648.05</v>
      </c>
      <c r="D581" s="43">
        <v>2633.45</v>
      </c>
      <c r="E581" s="43">
        <v>2717.49</v>
      </c>
      <c r="F581" s="43">
        <v>2553.8000000000002</v>
      </c>
      <c r="H581" s="22">
        <v>2.7000000000000001E-3</v>
      </c>
      <c r="I581" s="34">
        <f t="shared" ref="I581:I644" si="12">F581/F580-1</f>
        <v>-1.2409653929594699E-2</v>
      </c>
    </row>
    <row r="582" spans="2:9" x14ac:dyDescent="0.35">
      <c r="B582" s="42">
        <v>43221</v>
      </c>
      <c r="C582" s="43">
        <v>2705.27</v>
      </c>
      <c r="D582" s="43">
        <v>2643.64</v>
      </c>
      <c r="E582" s="43">
        <v>2742.24</v>
      </c>
      <c r="F582" s="43">
        <v>2594.62</v>
      </c>
      <c r="H582" s="22">
        <v>2.1600000000000001E-2</v>
      </c>
      <c r="I582" s="34">
        <f t="shared" si="12"/>
        <v>1.5984023807658954E-2</v>
      </c>
    </row>
    <row r="583" spans="2:9" x14ac:dyDescent="0.35">
      <c r="B583" s="42">
        <v>43252</v>
      </c>
      <c r="C583" s="43">
        <v>2718.37</v>
      </c>
      <c r="D583" s="43">
        <v>2718.7</v>
      </c>
      <c r="E583" s="43">
        <v>2791.47</v>
      </c>
      <c r="F583" s="43">
        <v>2691.99</v>
      </c>
      <c r="H583" s="22">
        <v>4.7999999999999996E-3</v>
      </c>
      <c r="I583" s="34">
        <f t="shared" si="12"/>
        <v>3.7527653375060588E-2</v>
      </c>
    </row>
    <row r="584" spans="2:9" x14ac:dyDescent="0.35">
      <c r="B584" s="42">
        <v>43282</v>
      </c>
      <c r="C584" s="43">
        <v>2816.29</v>
      </c>
      <c r="D584" s="43">
        <v>2704.95</v>
      </c>
      <c r="E584" s="43">
        <v>2848.03</v>
      </c>
      <c r="F584" s="43">
        <v>2698.95</v>
      </c>
      <c r="H584" s="22">
        <v>3.5999999999999997E-2</v>
      </c>
      <c r="I584" s="34">
        <f t="shared" si="12"/>
        <v>2.5854479399998187E-3</v>
      </c>
    </row>
    <row r="585" spans="2:9" x14ac:dyDescent="0.35">
      <c r="B585" s="42">
        <v>43313</v>
      </c>
      <c r="C585" s="43">
        <v>2901.52</v>
      </c>
      <c r="D585" s="43">
        <v>2821.17</v>
      </c>
      <c r="E585" s="43">
        <v>2916.5</v>
      </c>
      <c r="F585" s="43">
        <v>2796.34</v>
      </c>
      <c r="H585" s="22">
        <v>3.0300000000000001E-2</v>
      </c>
      <c r="I585" s="34">
        <f t="shared" si="12"/>
        <v>3.6084403193834769E-2</v>
      </c>
    </row>
    <row r="586" spans="2:9" x14ac:dyDescent="0.35">
      <c r="B586" s="42">
        <v>43344</v>
      </c>
      <c r="C586" s="43">
        <v>2913.98</v>
      </c>
      <c r="D586" s="43">
        <v>2896.96</v>
      </c>
      <c r="E586" s="43">
        <v>2940.91</v>
      </c>
      <c r="F586" s="43">
        <v>2864.12</v>
      </c>
      <c r="H586" s="22">
        <v>4.3E-3</v>
      </c>
      <c r="I586" s="34">
        <f t="shared" si="12"/>
        <v>2.4238826466023378E-2</v>
      </c>
    </row>
    <row r="587" spans="2:9" x14ac:dyDescent="0.35">
      <c r="B587" s="42">
        <v>43374</v>
      </c>
      <c r="C587" s="43">
        <v>2711.74</v>
      </c>
      <c r="D587" s="43">
        <v>2926.29</v>
      </c>
      <c r="E587" s="43">
        <v>2939.86</v>
      </c>
      <c r="F587" s="43">
        <v>2603.54</v>
      </c>
      <c r="H587" s="22">
        <v>-6.9400000000000003E-2</v>
      </c>
      <c r="I587" s="34">
        <f t="shared" si="12"/>
        <v>-9.0980824825775408E-2</v>
      </c>
    </row>
    <row r="588" spans="2:9" x14ac:dyDescent="0.35">
      <c r="B588" s="42">
        <v>43405</v>
      </c>
      <c r="C588" s="43">
        <v>2760.17</v>
      </c>
      <c r="D588" s="43">
        <v>2717.58</v>
      </c>
      <c r="E588" s="43">
        <v>2815.15</v>
      </c>
      <c r="F588" s="43">
        <v>2631.09</v>
      </c>
      <c r="H588" s="22">
        <v>1.7899999999999999E-2</v>
      </c>
      <c r="I588" s="34">
        <f t="shared" si="12"/>
        <v>1.0581746391451707E-2</v>
      </c>
    </row>
    <row r="589" spans="2:9" x14ac:dyDescent="0.35">
      <c r="B589" s="42">
        <v>43435</v>
      </c>
      <c r="C589" s="43">
        <v>2506.85</v>
      </c>
      <c r="D589" s="43">
        <v>2790.5</v>
      </c>
      <c r="E589" s="43">
        <v>2800.18</v>
      </c>
      <c r="F589" s="43">
        <v>2346.58</v>
      </c>
      <c r="H589" s="22">
        <v>-9.1800000000000007E-2</v>
      </c>
      <c r="I589" s="34">
        <f t="shared" si="12"/>
        <v>-0.10813389127699935</v>
      </c>
    </row>
    <row r="590" spans="2:9" x14ac:dyDescent="0.35">
      <c r="B590" s="42">
        <v>43466</v>
      </c>
      <c r="C590" s="43">
        <v>2704.1</v>
      </c>
      <c r="D590" s="43">
        <v>2476.96</v>
      </c>
      <c r="E590" s="43">
        <v>2708.95</v>
      </c>
      <c r="F590" s="43">
        <v>2443.96</v>
      </c>
      <c r="H590" s="22">
        <v>7.8700000000000006E-2</v>
      </c>
      <c r="I590" s="34">
        <f t="shared" si="12"/>
        <v>4.149869171304621E-2</v>
      </c>
    </row>
    <row r="591" spans="2:9" x14ac:dyDescent="0.35">
      <c r="B591" s="42">
        <v>43497</v>
      </c>
      <c r="C591" s="43">
        <v>2784.49</v>
      </c>
      <c r="D591" s="43">
        <v>2702.32</v>
      </c>
      <c r="E591" s="43">
        <v>2813.49</v>
      </c>
      <c r="F591" s="43">
        <v>2681.83</v>
      </c>
      <c r="H591" s="22">
        <v>2.9700000000000001E-2</v>
      </c>
      <c r="I591" s="34">
        <f t="shared" si="12"/>
        <v>9.7329743530990553E-2</v>
      </c>
    </row>
    <row r="592" spans="2:9" x14ac:dyDescent="0.35">
      <c r="B592" s="42">
        <v>43525</v>
      </c>
      <c r="C592" s="43">
        <v>2834.4</v>
      </c>
      <c r="D592" s="43">
        <v>2798.22</v>
      </c>
      <c r="E592" s="43">
        <v>2860.31</v>
      </c>
      <c r="F592" s="43">
        <v>2722.27</v>
      </c>
      <c r="H592" s="22">
        <v>1.7899999999999999E-2</v>
      </c>
      <c r="I592" s="34">
        <f t="shared" si="12"/>
        <v>1.5079255582941542E-2</v>
      </c>
    </row>
    <row r="593" spans="2:9" x14ac:dyDescent="0.35">
      <c r="B593" s="42">
        <v>43556</v>
      </c>
      <c r="C593" s="43">
        <v>2945.83</v>
      </c>
      <c r="D593" s="43">
        <v>2848.63</v>
      </c>
      <c r="E593" s="43">
        <v>2949.52</v>
      </c>
      <c r="F593" s="43">
        <v>2848.63</v>
      </c>
      <c r="H593" s="22">
        <v>3.9300000000000002E-2</v>
      </c>
      <c r="I593" s="34">
        <f t="shared" si="12"/>
        <v>4.6417144515422892E-2</v>
      </c>
    </row>
    <row r="594" spans="2:9" x14ac:dyDescent="0.35">
      <c r="B594" s="42">
        <v>43586</v>
      </c>
      <c r="C594" s="43">
        <v>2752.06</v>
      </c>
      <c r="D594" s="43">
        <v>2952.33</v>
      </c>
      <c r="E594" s="43">
        <v>2954.13</v>
      </c>
      <c r="F594" s="43">
        <v>2750.52</v>
      </c>
      <c r="H594" s="22">
        <v>-6.5799999999999997E-2</v>
      </c>
      <c r="I594" s="34">
        <f t="shared" si="12"/>
        <v>-3.4441117309022329E-2</v>
      </c>
    </row>
    <row r="595" spans="2:9" x14ac:dyDescent="0.35">
      <c r="B595" s="42">
        <v>43617</v>
      </c>
      <c r="C595" s="43">
        <v>2941.76</v>
      </c>
      <c r="D595" s="43">
        <v>2751.53</v>
      </c>
      <c r="E595" s="43">
        <v>2964.15</v>
      </c>
      <c r="F595" s="43">
        <v>2728.81</v>
      </c>
      <c r="H595" s="22">
        <v>6.8900000000000003E-2</v>
      </c>
      <c r="I595" s="34">
        <f t="shared" si="12"/>
        <v>-7.8930529499876556E-3</v>
      </c>
    </row>
    <row r="596" spans="2:9" x14ac:dyDescent="0.35">
      <c r="B596" s="42">
        <v>43647</v>
      </c>
      <c r="C596" s="43">
        <v>2980.38</v>
      </c>
      <c r="D596" s="43">
        <v>2971.41</v>
      </c>
      <c r="E596" s="43">
        <v>3027.98</v>
      </c>
      <c r="F596" s="43">
        <v>2952.22</v>
      </c>
      <c r="H596" s="22">
        <v>1.3100000000000001E-2</v>
      </c>
      <c r="I596" s="34">
        <f t="shared" si="12"/>
        <v>8.1870852129682925E-2</v>
      </c>
    </row>
    <row r="597" spans="2:9" x14ac:dyDescent="0.35">
      <c r="B597" s="42">
        <v>43678</v>
      </c>
      <c r="C597" s="43">
        <v>2926.46</v>
      </c>
      <c r="D597" s="43">
        <v>2980.32</v>
      </c>
      <c r="E597" s="43">
        <v>3013.59</v>
      </c>
      <c r="F597" s="43">
        <v>2822.12</v>
      </c>
      <c r="H597" s="22">
        <v>-1.8100000000000002E-2</v>
      </c>
      <c r="I597" s="34">
        <f t="shared" si="12"/>
        <v>-4.4068531478006379E-2</v>
      </c>
    </row>
    <row r="598" spans="2:9" x14ac:dyDescent="0.35">
      <c r="B598" s="42">
        <v>43709</v>
      </c>
      <c r="C598" s="43">
        <v>2976.74</v>
      </c>
      <c r="D598" s="43">
        <v>2909.01</v>
      </c>
      <c r="E598" s="43">
        <v>3021.99</v>
      </c>
      <c r="F598" s="43">
        <v>2891.85</v>
      </c>
      <c r="H598" s="22">
        <v>1.72E-2</v>
      </c>
      <c r="I598" s="34">
        <f t="shared" si="12"/>
        <v>2.4708375263985838E-2</v>
      </c>
    </row>
    <row r="599" spans="2:9" x14ac:dyDescent="0.35">
      <c r="B599" s="42">
        <v>43739</v>
      </c>
      <c r="C599" s="43">
        <v>3037.56</v>
      </c>
      <c r="D599" s="43">
        <v>2983.69</v>
      </c>
      <c r="E599" s="43">
        <v>3050.1</v>
      </c>
      <c r="F599" s="43">
        <v>2855.94</v>
      </c>
      <c r="H599" s="22">
        <v>2.0400000000000001E-2</v>
      </c>
      <c r="I599" s="34">
        <f t="shared" si="12"/>
        <v>-1.241765651745419E-2</v>
      </c>
    </row>
    <row r="600" spans="2:9" x14ac:dyDescent="0.35">
      <c r="B600" s="42">
        <v>43770</v>
      </c>
      <c r="C600" s="43">
        <v>3140.98</v>
      </c>
      <c r="D600" s="43">
        <v>3050.72</v>
      </c>
      <c r="E600" s="43">
        <v>3154.26</v>
      </c>
      <c r="F600" s="43">
        <v>3050.72</v>
      </c>
      <c r="H600" s="22">
        <v>3.4000000000000002E-2</v>
      </c>
      <c r="I600" s="34">
        <f t="shared" si="12"/>
        <v>6.8201712921139634E-2</v>
      </c>
    </row>
    <row r="601" spans="2:9" x14ac:dyDescent="0.35">
      <c r="B601" s="42">
        <v>43800</v>
      </c>
      <c r="C601" s="43">
        <v>3230.78</v>
      </c>
      <c r="D601" s="43">
        <v>3143.85</v>
      </c>
      <c r="E601" s="43">
        <v>3247.93</v>
      </c>
      <c r="F601" s="43">
        <v>3070.33</v>
      </c>
      <c r="H601" s="22">
        <v>2.86E-2</v>
      </c>
      <c r="I601" s="34">
        <f t="shared" si="12"/>
        <v>6.4279907693922667E-3</v>
      </c>
    </row>
    <row r="602" spans="2:9" x14ac:dyDescent="0.35">
      <c r="B602" s="42">
        <v>43831</v>
      </c>
      <c r="C602" s="43">
        <v>3225.52</v>
      </c>
      <c r="D602" s="43">
        <v>3244.67</v>
      </c>
      <c r="E602" s="43">
        <v>3337.77</v>
      </c>
      <c r="F602" s="43">
        <v>3214.64</v>
      </c>
      <c r="H602" s="22">
        <v>-1.6000000000000001E-3</v>
      </c>
      <c r="I602" s="34">
        <f t="shared" si="12"/>
        <v>4.7001462383522208E-2</v>
      </c>
    </row>
    <row r="603" spans="2:9" x14ac:dyDescent="0.35">
      <c r="B603" s="42">
        <v>43862</v>
      </c>
      <c r="C603" s="43">
        <v>2954.22</v>
      </c>
      <c r="D603" s="43">
        <v>3235.66</v>
      </c>
      <c r="E603" s="43">
        <v>3393.52</v>
      </c>
      <c r="F603" s="43">
        <v>2855.84</v>
      </c>
      <c r="H603" s="22">
        <v>-8.4099999999999994E-2</v>
      </c>
      <c r="I603" s="34">
        <f t="shared" si="12"/>
        <v>-0.11161436428340332</v>
      </c>
    </row>
    <row r="604" spans="2:9" x14ac:dyDescent="0.35">
      <c r="B604" s="42">
        <v>43891</v>
      </c>
      <c r="C604" s="43">
        <v>2584.59</v>
      </c>
      <c r="D604" s="43">
        <v>2974.28</v>
      </c>
      <c r="E604" s="43">
        <v>3136.72</v>
      </c>
      <c r="F604" s="43">
        <v>2191.86</v>
      </c>
      <c r="H604" s="22">
        <v>-0.12509999999999999</v>
      </c>
      <c r="I604" s="34">
        <f t="shared" si="12"/>
        <v>-0.23249901955291608</v>
      </c>
    </row>
    <row r="605" spans="2:9" x14ac:dyDescent="0.35">
      <c r="B605" s="42">
        <v>43922</v>
      </c>
      <c r="C605" s="43">
        <v>2912.43</v>
      </c>
      <c r="D605" s="43">
        <v>2498.08</v>
      </c>
      <c r="E605" s="43">
        <v>2954.86</v>
      </c>
      <c r="F605" s="43">
        <v>2447.4899999999998</v>
      </c>
      <c r="H605" s="22">
        <v>0.1268</v>
      </c>
      <c r="I605" s="34">
        <f t="shared" si="12"/>
        <v>0.11662697435055147</v>
      </c>
    </row>
    <row r="606" spans="2:9" x14ac:dyDescent="0.35">
      <c r="B606" s="42">
        <v>43952</v>
      </c>
      <c r="C606" s="43">
        <v>3044.31</v>
      </c>
      <c r="D606" s="43">
        <v>2869.09</v>
      </c>
      <c r="E606" s="43">
        <v>3068.67</v>
      </c>
      <c r="F606" s="43">
        <v>2766.64</v>
      </c>
      <c r="H606" s="22">
        <v>4.53E-2</v>
      </c>
      <c r="I606" s="34">
        <f t="shared" si="12"/>
        <v>0.13039889846332375</v>
      </c>
    </row>
    <row r="607" spans="2:9" x14ac:dyDescent="0.35">
      <c r="B607" s="42">
        <v>43983</v>
      </c>
      <c r="C607" s="43">
        <v>3100.29</v>
      </c>
      <c r="D607" s="43">
        <v>3038.78</v>
      </c>
      <c r="E607" s="43">
        <v>3233.13</v>
      </c>
      <c r="F607" s="43">
        <v>2965.66</v>
      </c>
      <c r="H607" s="22">
        <v>1.84E-2</v>
      </c>
      <c r="I607" s="34">
        <f t="shared" si="12"/>
        <v>7.1935633114535991E-2</v>
      </c>
    </row>
    <row r="608" spans="2:9" x14ac:dyDescent="0.35">
      <c r="B608" s="42">
        <v>44013</v>
      </c>
      <c r="C608" s="43">
        <v>3271.12</v>
      </c>
      <c r="D608" s="43">
        <v>3105.92</v>
      </c>
      <c r="E608" s="43">
        <v>3279.99</v>
      </c>
      <c r="F608" s="43">
        <v>3101.17</v>
      </c>
      <c r="H608" s="22">
        <v>5.5100000000000003E-2</v>
      </c>
      <c r="I608" s="34">
        <f t="shared" si="12"/>
        <v>4.5693032916787502E-2</v>
      </c>
    </row>
    <row r="609" spans="2:9" x14ac:dyDescent="0.35">
      <c r="B609" s="42">
        <v>44044</v>
      </c>
      <c r="C609" s="43">
        <v>3500.31</v>
      </c>
      <c r="D609" s="43">
        <v>3288.26</v>
      </c>
      <c r="E609" s="43">
        <v>3514.77</v>
      </c>
      <c r="F609" s="43">
        <v>3284.53</v>
      </c>
      <c r="H609" s="22">
        <v>7.0099999999999996E-2</v>
      </c>
      <c r="I609" s="34">
        <f t="shared" si="12"/>
        <v>5.9126071772911626E-2</v>
      </c>
    </row>
    <row r="610" spans="2:9" x14ac:dyDescent="0.35">
      <c r="B610" s="42">
        <v>44075</v>
      </c>
      <c r="C610" s="43">
        <v>3363</v>
      </c>
      <c r="D610" s="43">
        <v>3507.44</v>
      </c>
      <c r="E610" s="43">
        <v>3588.11</v>
      </c>
      <c r="F610" s="43">
        <v>3209.45</v>
      </c>
      <c r="H610" s="22">
        <v>-3.9199999999999999E-2</v>
      </c>
      <c r="I610" s="34">
        <f t="shared" si="12"/>
        <v>-2.2858673843746402E-2</v>
      </c>
    </row>
    <row r="611" spans="2:9" x14ac:dyDescent="0.35">
      <c r="B611" s="42">
        <v>44105</v>
      </c>
      <c r="C611" s="43">
        <v>3269.96</v>
      </c>
      <c r="D611" s="43">
        <v>3385.87</v>
      </c>
      <c r="E611" s="43">
        <v>3549.85</v>
      </c>
      <c r="F611" s="43">
        <v>3233.94</v>
      </c>
      <c r="H611" s="22">
        <v>-2.7699999999999999E-2</v>
      </c>
      <c r="I611" s="34">
        <f t="shared" si="12"/>
        <v>7.6305909112153181E-3</v>
      </c>
    </row>
    <row r="612" spans="2:9" x14ac:dyDescent="0.35">
      <c r="B612" s="42">
        <v>44136</v>
      </c>
      <c r="C612" s="43">
        <v>3621.63</v>
      </c>
      <c r="D612" s="43">
        <v>3296.2</v>
      </c>
      <c r="E612" s="43">
        <v>3645.99</v>
      </c>
      <c r="F612" s="43">
        <v>3279.74</v>
      </c>
      <c r="H612" s="22">
        <v>0.1075</v>
      </c>
      <c r="I612" s="34">
        <f t="shared" si="12"/>
        <v>1.4162291198970722E-2</v>
      </c>
    </row>
    <row r="613" spans="2:9" x14ac:dyDescent="0.35">
      <c r="B613" s="42">
        <v>44166</v>
      </c>
      <c r="C613" s="43">
        <v>3756.07</v>
      </c>
      <c r="D613" s="43">
        <v>3645.87</v>
      </c>
      <c r="E613" s="43">
        <v>3760.2</v>
      </c>
      <c r="F613" s="43">
        <v>3633.4</v>
      </c>
      <c r="H613" s="22">
        <v>3.7100000000000001E-2</v>
      </c>
      <c r="I613" s="34">
        <f t="shared" si="12"/>
        <v>0.1078317183679196</v>
      </c>
    </row>
    <row r="614" spans="2:9" x14ac:dyDescent="0.35">
      <c r="B614" s="42">
        <v>44197</v>
      </c>
      <c r="C614" s="43">
        <v>3714.24</v>
      </c>
      <c r="D614" s="43">
        <v>3764.61</v>
      </c>
      <c r="E614" s="43">
        <v>3870.9</v>
      </c>
      <c r="F614" s="43">
        <v>3662.71</v>
      </c>
      <c r="H614" s="22">
        <v>-1.11E-2</v>
      </c>
      <c r="I614" s="34">
        <f t="shared" si="12"/>
        <v>8.066824461936406E-3</v>
      </c>
    </row>
    <row r="615" spans="2:9" x14ac:dyDescent="0.35">
      <c r="B615" s="42">
        <v>44228</v>
      </c>
      <c r="C615" s="43">
        <v>3811.15</v>
      </c>
      <c r="D615" s="43">
        <v>3731.17</v>
      </c>
      <c r="E615" s="43">
        <v>3950.43</v>
      </c>
      <c r="F615" s="43">
        <v>3725.62</v>
      </c>
      <c r="H615" s="22">
        <v>2.6100000000000002E-2</v>
      </c>
      <c r="I615" s="34">
        <f t="shared" si="12"/>
        <v>1.7175806984445874E-2</v>
      </c>
    </row>
    <row r="616" spans="2:9" x14ac:dyDescent="0.35">
      <c r="B616" s="42">
        <v>44256</v>
      </c>
      <c r="C616" s="43">
        <v>3972.89</v>
      </c>
      <c r="D616" s="43">
        <v>3842.51</v>
      </c>
      <c r="E616" s="43">
        <v>3994.41</v>
      </c>
      <c r="F616" s="43">
        <v>3723.34</v>
      </c>
      <c r="H616" s="22">
        <v>4.24E-2</v>
      </c>
      <c r="I616" s="34">
        <f t="shared" si="12"/>
        <v>-6.1197867737439182E-4</v>
      </c>
    </row>
    <row r="617" spans="2:9" x14ac:dyDescent="0.35">
      <c r="B617" s="42">
        <v>44287</v>
      </c>
      <c r="C617" s="43">
        <v>4181.17</v>
      </c>
      <c r="D617" s="43">
        <v>3992.78</v>
      </c>
      <c r="E617" s="43">
        <v>4218.78</v>
      </c>
      <c r="F617" s="43">
        <v>3992.78</v>
      </c>
      <c r="H617" s="22">
        <v>5.2400000000000002E-2</v>
      </c>
      <c r="I617" s="34">
        <f t="shared" si="12"/>
        <v>7.2365134529750241E-2</v>
      </c>
    </row>
    <row r="618" spans="2:9" x14ac:dyDescent="0.35">
      <c r="B618" s="42">
        <v>44317</v>
      </c>
      <c r="C618" s="43">
        <v>4204.1099999999997</v>
      </c>
      <c r="D618" s="43">
        <v>4191.9799999999996</v>
      </c>
      <c r="E618" s="43">
        <v>4238.04</v>
      </c>
      <c r="F618" s="43">
        <v>4056.88</v>
      </c>
      <c r="H618" s="22">
        <v>5.4999999999999997E-3</v>
      </c>
      <c r="I618" s="34">
        <f t="shared" si="12"/>
        <v>1.6053977429259847E-2</v>
      </c>
    </row>
    <row r="619" spans="2:9" x14ac:dyDescent="0.35">
      <c r="B619" s="42">
        <v>44348</v>
      </c>
      <c r="C619" s="43">
        <v>4297.5</v>
      </c>
      <c r="D619" s="43">
        <v>4216.5200000000004</v>
      </c>
      <c r="E619" s="43">
        <v>4302.43</v>
      </c>
      <c r="F619" s="43">
        <v>4164.3999999999996</v>
      </c>
      <c r="H619" s="22">
        <v>2.2200000000000001E-2</v>
      </c>
      <c r="I619" s="34">
        <f t="shared" si="12"/>
        <v>2.6503125554613316E-2</v>
      </c>
    </row>
    <row r="620" spans="2:9" x14ac:dyDescent="0.35">
      <c r="B620" s="42">
        <v>44378</v>
      </c>
      <c r="C620" s="43">
        <v>4395.26</v>
      </c>
      <c r="D620" s="43">
        <v>4300.7299999999996</v>
      </c>
      <c r="E620" s="43">
        <v>4429.97</v>
      </c>
      <c r="F620" s="43">
        <v>4233.13</v>
      </c>
      <c r="H620" s="22">
        <v>2.2700000000000001E-2</v>
      </c>
      <c r="I620" s="34">
        <f t="shared" si="12"/>
        <v>1.6504178272980674E-2</v>
      </c>
    </row>
    <row r="621" spans="2:9" x14ac:dyDescent="0.35">
      <c r="B621" s="42">
        <v>44409</v>
      </c>
      <c r="C621" s="43">
        <v>4522.68</v>
      </c>
      <c r="D621" s="43">
        <v>4406.8599999999997</v>
      </c>
      <c r="E621" s="43">
        <v>4537.3599999999997</v>
      </c>
      <c r="F621" s="43">
        <v>4367.7299999999996</v>
      </c>
      <c r="H621" s="22">
        <v>2.9000000000000001E-2</v>
      </c>
      <c r="I621" s="34">
        <f t="shared" si="12"/>
        <v>3.1796802838561344E-2</v>
      </c>
    </row>
    <row r="622" spans="2:9" x14ac:dyDescent="0.35">
      <c r="B622" s="42">
        <v>44440</v>
      </c>
      <c r="C622" s="43">
        <v>4307.54</v>
      </c>
      <c r="D622" s="43">
        <v>4528.8</v>
      </c>
      <c r="E622" s="43">
        <v>4545.8500000000004</v>
      </c>
      <c r="F622" s="43">
        <v>4305.91</v>
      </c>
      <c r="H622" s="22">
        <v>-4.7600000000000003E-2</v>
      </c>
      <c r="I622" s="34">
        <f t="shared" si="12"/>
        <v>-1.4153805294741084E-2</v>
      </c>
    </row>
    <row r="623" spans="2:9" x14ac:dyDescent="0.35">
      <c r="B623" s="42">
        <v>44470</v>
      </c>
      <c r="C623" s="43">
        <v>4605.38</v>
      </c>
      <c r="D623" s="43">
        <v>4317.16</v>
      </c>
      <c r="E623" s="43">
        <v>4608.08</v>
      </c>
      <c r="F623" s="43">
        <v>4278.9399999999996</v>
      </c>
      <c r="H623" s="22">
        <v>6.9099999999999995E-2</v>
      </c>
      <c r="I623" s="34">
        <f t="shared" si="12"/>
        <v>-6.2634843738025303E-3</v>
      </c>
    </row>
    <row r="624" spans="2:9" x14ac:dyDescent="0.35">
      <c r="B624" s="42">
        <v>44501</v>
      </c>
      <c r="C624" s="43">
        <v>4567</v>
      </c>
      <c r="D624" s="43">
        <v>4610.62</v>
      </c>
      <c r="E624" s="43">
        <v>4743.83</v>
      </c>
      <c r="F624" s="43">
        <v>4560</v>
      </c>
      <c r="H624" s="22">
        <v>-8.3000000000000001E-3</v>
      </c>
      <c r="I624" s="34">
        <f t="shared" si="12"/>
        <v>6.568449195361481E-2</v>
      </c>
    </row>
    <row r="625" spans="2:9" x14ac:dyDescent="0.35">
      <c r="B625" s="42">
        <v>44531</v>
      </c>
      <c r="C625" s="43">
        <v>4766.18</v>
      </c>
      <c r="D625" s="43">
        <v>4602.82</v>
      </c>
      <c r="E625" s="43">
        <v>4808.93</v>
      </c>
      <c r="F625" s="43">
        <v>4495.12</v>
      </c>
      <c r="H625" s="22">
        <v>4.36E-2</v>
      </c>
      <c r="I625" s="34">
        <f t="shared" si="12"/>
        <v>-1.422807017543859E-2</v>
      </c>
    </row>
    <row r="626" spans="2:9" x14ac:dyDescent="0.35">
      <c r="B626" s="42">
        <v>44562</v>
      </c>
      <c r="C626" s="43">
        <v>4515.55</v>
      </c>
      <c r="D626" s="43">
        <v>4778.1400000000003</v>
      </c>
      <c r="E626" s="43">
        <v>4818.62</v>
      </c>
      <c r="F626" s="43">
        <v>4222.62</v>
      </c>
      <c r="H626" s="22">
        <v>-5.2600000000000001E-2</v>
      </c>
      <c r="I626" s="34">
        <f t="shared" si="12"/>
        <v>-6.0621295983199541E-2</v>
      </c>
    </row>
    <row r="627" spans="2:9" x14ac:dyDescent="0.35">
      <c r="B627" s="42">
        <v>44593</v>
      </c>
      <c r="C627" s="43">
        <v>4373.9399999999996</v>
      </c>
      <c r="D627" s="43">
        <v>4519.57</v>
      </c>
      <c r="E627" s="43">
        <v>4595.3100000000004</v>
      </c>
      <c r="F627" s="43">
        <v>4114.6499999999996</v>
      </c>
      <c r="H627" s="22">
        <v>-3.1399999999999997E-2</v>
      </c>
      <c r="I627" s="34">
        <f t="shared" si="12"/>
        <v>-2.556943319550431E-2</v>
      </c>
    </row>
    <row r="628" spans="2:9" x14ac:dyDescent="0.35">
      <c r="B628" s="42">
        <v>44621</v>
      </c>
      <c r="C628" s="43">
        <v>4530.41</v>
      </c>
      <c r="D628" s="43">
        <v>4363.1400000000003</v>
      </c>
      <c r="E628" s="43">
        <v>4637.3</v>
      </c>
      <c r="F628" s="43">
        <v>4157.87</v>
      </c>
      <c r="H628" s="22">
        <v>3.5799999999999998E-2</v>
      </c>
      <c r="I628" s="34">
        <f t="shared" si="12"/>
        <v>1.0503931075547257E-2</v>
      </c>
    </row>
    <row r="629" spans="2:9" x14ac:dyDescent="0.35">
      <c r="B629" s="42">
        <v>44652</v>
      </c>
      <c r="C629" s="43">
        <v>4131.93</v>
      </c>
      <c r="D629" s="43">
        <v>4540.32</v>
      </c>
      <c r="E629" s="43">
        <v>4593.45</v>
      </c>
      <c r="F629" s="43">
        <v>4124.28</v>
      </c>
      <c r="H629" s="22">
        <v>-8.7999999999999995E-2</v>
      </c>
      <c r="I629" s="34">
        <f t="shared" si="12"/>
        <v>-8.0786556578248403E-3</v>
      </c>
    </row>
    <row r="630" spans="2:9" x14ac:dyDescent="0.35">
      <c r="B630" s="42">
        <v>44682</v>
      </c>
      <c r="C630" s="43">
        <v>4132.1499999999996</v>
      </c>
      <c r="D630" s="43">
        <v>4130.6099999999997</v>
      </c>
      <c r="E630" s="43">
        <v>4307.66</v>
      </c>
      <c r="F630" s="43">
        <v>3810.32</v>
      </c>
      <c r="H630" s="22">
        <v>1E-4</v>
      </c>
      <c r="I630" s="34">
        <f t="shared" si="12"/>
        <v>-7.612480238975039E-2</v>
      </c>
    </row>
    <row r="631" spans="2:9" x14ac:dyDescent="0.35">
      <c r="B631" s="42">
        <v>44713</v>
      </c>
      <c r="C631" s="43">
        <v>3785.38</v>
      </c>
      <c r="D631" s="43">
        <v>4149.78</v>
      </c>
      <c r="E631" s="43">
        <v>4177.51</v>
      </c>
      <c r="F631" s="43">
        <v>3636.87</v>
      </c>
      <c r="H631" s="22">
        <v>-8.3900000000000002E-2</v>
      </c>
      <c r="I631" s="34">
        <f t="shared" si="12"/>
        <v>-4.5521111087782673E-2</v>
      </c>
    </row>
    <row r="632" spans="2:9" x14ac:dyDescent="0.35">
      <c r="B632" s="42">
        <v>44743</v>
      </c>
      <c r="C632" s="43">
        <v>4130.29</v>
      </c>
      <c r="D632" s="43">
        <v>3781</v>
      </c>
      <c r="E632" s="43">
        <v>4140.1499999999996</v>
      </c>
      <c r="F632" s="43">
        <v>3721.56</v>
      </c>
      <c r="H632" s="22">
        <v>9.11E-2</v>
      </c>
      <c r="I632" s="34">
        <f t="shared" si="12"/>
        <v>2.3286507353851071E-2</v>
      </c>
    </row>
    <row r="633" spans="2:9" x14ac:dyDescent="0.35">
      <c r="B633" s="42">
        <v>44774</v>
      </c>
      <c r="C633" s="43">
        <v>3955</v>
      </c>
      <c r="D633" s="43">
        <v>4112.38</v>
      </c>
      <c r="E633" s="43">
        <v>4325.28</v>
      </c>
      <c r="F633" s="43">
        <v>3954.53</v>
      </c>
      <c r="H633" s="22">
        <v>-4.24E-2</v>
      </c>
      <c r="I633" s="34">
        <f t="shared" si="12"/>
        <v>6.2600092434355492E-2</v>
      </c>
    </row>
    <row r="634" spans="2:9" x14ac:dyDescent="0.35">
      <c r="B634" s="42">
        <v>44805</v>
      </c>
      <c r="C634" s="43">
        <v>3585.62</v>
      </c>
      <c r="D634" s="43">
        <v>3936.73</v>
      </c>
      <c r="E634" s="43">
        <v>4119.28</v>
      </c>
      <c r="F634" s="43">
        <v>3584.13</v>
      </c>
      <c r="H634" s="22">
        <v>-9.3399999999999997E-2</v>
      </c>
      <c r="I634" s="34">
        <f t="shared" si="12"/>
        <v>-9.3664733862178329E-2</v>
      </c>
    </row>
    <row r="635" spans="2:9" x14ac:dyDescent="0.35">
      <c r="B635" s="42">
        <v>44835</v>
      </c>
      <c r="C635" s="43">
        <v>3871.98</v>
      </c>
      <c r="D635" s="43">
        <v>3609.78</v>
      </c>
      <c r="E635" s="43">
        <v>3905.42</v>
      </c>
      <c r="F635" s="43">
        <v>3491.58</v>
      </c>
      <c r="H635" s="22">
        <v>7.9899999999999999E-2</v>
      </c>
      <c r="I635" s="34">
        <f t="shared" si="12"/>
        <v>-2.5822166048664608E-2</v>
      </c>
    </row>
    <row r="636" spans="2:9" x14ac:dyDescent="0.35">
      <c r="B636" s="42">
        <v>44866</v>
      </c>
      <c r="C636" s="43">
        <v>4080.11</v>
      </c>
      <c r="D636" s="43">
        <v>3901.79</v>
      </c>
      <c r="E636" s="43">
        <v>4080.11</v>
      </c>
      <c r="F636" s="43">
        <v>3698.15</v>
      </c>
      <c r="H636" s="22">
        <v>5.3800000000000001E-2</v>
      </c>
      <c r="I636" s="34">
        <f t="shared" si="12"/>
        <v>5.9162327656820279E-2</v>
      </c>
    </row>
    <row r="637" spans="2:9" x14ac:dyDescent="0.35">
      <c r="B637" s="42">
        <v>44896</v>
      </c>
      <c r="C637" s="43">
        <v>3839.5</v>
      </c>
      <c r="D637" s="43">
        <v>4087.14</v>
      </c>
      <c r="E637" s="43">
        <v>4100.96</v>
      </c>
      <c r="F637" s="43">
        <v>3764.49</v>
      </c>
      <c r="H637" s="22">
        <v>-5.8999999999999997E-2</v>
      </c>
      <c r="I637" s="34">
        <f t="shared" si="12"/>
        <v>1.7938699079269371E-2</v>
      </c>
    </row>
    <row r="638" spans="2:9" x14ac:dyDescent="0.35">
      <c r="B638" s="42">
        <v>44927</v>
      </c>
      <c r="C638" s="43">
        <v>4076.6</v>
      </c>
      <c r="D638" s="43">
        <v>3853.29</v>
      </c>
      <c r="E638" s="43">
        <v>4094.21</v>
      </c>
      <c r="F638" s="43">
        <v>3794.33</v>
      </c>
      <c r="H638" s="22">
        <v>6.1800000000000001E-2</v>
      </c>
      <c r="I638" s="34">
        <f t="shared" si="12"/>
        <v>7.9267045469639807E-3</v>
      </c>
    </row>
    <row r="639" spans="2:9" x14ac:dyDescent="0.35">
      <c r="B639" s="42">
        <v>44958</v>
      </c>
      <c r="C639" s="43">
        <v>3970.15</v>
      </c>
      <c r="D639" s="43">
        <v>4070.07</v>
      </c>
      <c r="E639" s="43">
        <v>4195.4399999999996</v>
      </c>
      <c r="F639" s="43">
        <v>3943.08</v>
      </c>
      <c r="H639" s="22">
        <v>-2.6100000000000002E-2</v>
      </c>
      <c r="I639" s="34">
        <f t="shared" si="12"/>
        <v>3.9203232191190596E-2</v>
      </c>
    </row>
    <row r="640" spans="2:9" x14ac:dyDescent="0.35">
      <c r="B640" s="42">
        <v>44986</v>
      </c>
      <c r="C640" s="43">
        <v>4109.3100000000004</v>
      </c>
      <c r="D640" s="43">
        <v>3963.34</v>
      </c>
      <c r="E640" s="43">
        <v>4110.75</v>
      </c>
      <c r="F640" s="43">
        <v>3808.86</v>
      </c>
      <c r="H640" s="22">
        <v>3.5099999999999999E-2</v>
      </c>
      <c r="I640" s="34">
        <f t="shared" si="12"/>
        <v>-3.4039380382847928E-2</v>
      </c>
    </row>
    <row r="641" spans="2:9" x14ac:dyDescent="0.35">
      <c r="B641" s="42">
        <v>45017</v>
      </c>
      <c r="C641" s="43">
        <v>4169.4799999999996</v>
      </c>
      <c r="D641" s="43">
        <v>4102.2</v>
      </c>
      <c r="E641" s="43">
        <v>4170.0600000000004</v>
      </c>
      <c r="F641" s="43">
        <v>4049.35</v>
      </c>
      <c r="H641" s="22">
        <v>1.46E-2</v>
      </c>
      <c r="I641" s="34">
        <f t="shared" si="12"/>
        <v>6.3139627080018634E-2</v>
      </c>
    </row>
    <row r="642" spans="2:9" x14ac:dyDescent="0.35">
      <c r="B642" s="42">
        <v>45047</v>
      </c>
      <c r="C642" s="43">
        <v>4179.83</v>
      </c>
      <c r="D642" s="43">
        <v>4166.79</v>
      </c>
      <c r="E642" s="43">
        <v>4231.1000000000004</v>
      </c>
      <c r="F642" s="43">
        <v>4048.28</v>
      </c>
      <c r="H642" s="22">
        <v>2.5000000000000001E-3</v>
      </c>
      <c r="I642" s="34">
        <f t="shared" si="12"/>
        <v>-2.6423993974333815E-4</v>
      </c>
    </row>
    <row r="643" spans="2:9" x14ac:dyDescent="0.35">
      <c r="B643" s="42">
        <v>45078</v>
      </c>
      <c r="C643" s="43">
        <v>4450.38</v>
      </c>
      <c r="D643" s="43">
        <v>4183.03</v>
      </c>
      <c r="E643" s="43">
        <v>4458.4799999999996</v>
      </c>
      <c r="F643" s="43">
        <v>4171.6400000000003</v>
      </c>
      <c r="H643" s="22">
        <v>6.4699999999999994E-2</v>
      </c>
      <c r="I643" s="34">
        <f t="shared" si="12"/>
        <v>3.0472200539488403E-2</v>
      </c>
    </row>
    <row r="644" spans="2:9" x14ac:dyDescent="0.35">
      <c r="B644" s="42">
        <v>45108</v>
      </c>
      <c r="C644" s="43">
        <v>4588.96</v>
      </c>
      <c r="D644" s="43">
        <v>4450.4799999999996</v>
      </c>
      <c r="E644" s="43">
        <v>4607.07</v>
      </c>
      <c r="F644" s="43">
        <v>4385.05</v>
      </c>
      <c r="H644" s="22">
        <v>3.1099999999999999E-2</v>
      </c>
      <c r="I644" s="34">
        <f t="shared" si="12"/>
        <v>5.1157338600646307E-2</v>
      </c>
    </row>
    <row r="645" spans="2:9" x14ac:dyDescent="0.35">
      <c r="B645" s="42">
        <v>45139</v>
      </c>
      <c r="C645" s="43">
        <v>4507.66</v>
      </c>
      <c r="D645" s="43">
        <v>4578.83</v>
      </c>
      <c r="E645" s="43">
        <v>4584.62</v>
      </c>
      <c r="F645" s="43">
        <v>4335.3100000000004</v>
      </c>
      <c r="H645" s="22">
        <v>-1.77E-2</v>
      </c>
      <c r="I645" s="34">
        <f t="shared" ref="I645:I649" si="13">F645/F644-1</f>
        <v>-1.1343086167774574E-2</v>
      </c>
    </row>
    <row r="646" spans="2:9" x14ac:dyDescent="0.35">
      <c r="B646" s="42">
        <v>45170</v>
      </c>
      <c r="C646" s="43">
        <v>4288.05</v>
      </c>
      <c r="D646" s="43">
        <v>4530.6000000000004</v>
      </c>
      <c r="E646" s="43">
        <v>4541.25</v>
      </c>
      <c r="F646" s="43">
        <v>4238.63</v>
      </c>
      <c r="H646" s="22">
        <v>-4.87E-2</v>
      </c>
      <c r="I646" s="34">
        <f t="shared" si="13"/>
        <v>-2.2300596727800381E-2</v>
      </c>
    </row>
    <row r="647" spans="2:9" x14ac:dyDescent="0.35">
      <c r="B647" s="42">
        <v>45200</v>
      </c>
      <c r="C647" s="43">
        <v>4193.8</v>
      </c>
      <c r="D647" s="43">
        <v>4284.5200000000004</v>
      </c>
      <c r="E647" s="43">
        <v>4393.57</v>
      </c>
      <c r="F647" s="43">
        <v>4103.78</v>
      </c>
      <c r="H647" s="22">
        <v>-2.1999999999999999E-2</v>
      </c>
      <c r="I647" s="34">
        <f t="shared" si="13"/>
        <v>-3.1814524976230607E-2</v>
      </c>
    </row>
    <row r="648" spans="2:9" x14ac:dyDescent="0.35">
      <c r="B648" s="42">
        <v>45231</v>
      </c>
      <c r="C648" s="43">
        <v>4567.8</v>
      </c>
      <c r="D648" s="43">
        <v>4201.2700000000004</v>
      </c>
      <c r="E648" s="43">
        <v>4587.6400000000003</v>
      </c>
      <c r="F648" s="43">
        <v>4197.74</v>
      </c>
      <c r="H648" s="22">
        <v>8.9200000000000002E-2</v>
      </c>
      <c r="I648" s="34">
        <f t="shared" si="13"/>
        <v>2.2895964208607733E-2</v>
      </c>
    </row>
    <row r="649" spans="2:9" x14ac:dyDescent="0.35">
      <c r="B649" s="42">
        <v>45261</v>
      </c>
      <c r="C649" s="43">
        <v>4769.83</v>
      </c>
      <c r="D649" s="43">
        <v>4559.43</v>
      </c>
      <c r="E649" s="43">
        <v>4793.3</v>
      </c>
      <c r="F649" s="43">
        <v>4546.5</v>
      </c>
      <c r="H649" s="22">
        <v>4.4200000000000003E-2</v>
      </c>
      <c r="I649" s="34">
        <f t="shared" si="13"/>
        <v>8.3082801698056707E-2</v>
      </c>
    </row>
    <row r="650" spans="2:9" x14ac:dyDescent="0.35">
      <c r="I650" s="34"/>
    </row>
    <row r="651" spans="2:9" x14ac:dyDescent="0.35">
      <c r="I651" s="34"/>
    </row>
    <row r="652" spans="2:9" x14ac:dyDescent="0.35">
      <c r="I652" s="34"/>
    </row>
    <row r="653" spans="2:9" x14ac:dyDescent="0.35">
      <c r="I653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5297-C9DF-4BA9-88AB-1AE491E20022}">
  <dimension ref="B2:N649"/>
  <sheetViews>
    <sheetView showGridLines="0" topLeftCell="F1" workbookViewId="0">
      <selection activeCell="X11" sqref="X11"/>
    </sheetView>
  </sheetViews>
  <sheetFormatPr defaultRowHeight="14" x14ac:dyDescent="0.3"/>
  <cols>
    <col min="2" max="2" width="10.5" customWidth="1"/>
    <col min="9" max="9" width="11.296875" bestFit="1" customWidth="1"/>
    <col min="10" max="10" width="16.5" customWidth="1"/>
    <col min="11" max="11" width="14.5" customWidth="1"/>
    <col min="12" max="12" width="12.09765625" customWidth="1"/>
  </cols>
  <sheetData>
    <row r="2" spans="2:14" ht="14.5" x14ac:dyDescent="0.3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13</v>
      </c>
      <c r="I2" t="s">
        <v>0</v>
      </c>
      <c r="J2" t="s">
        <v>127</v>
      </c>
      <c r="L2" s="8" t="s">
        <v>128</v>
      </c>
      <c r="M2" s="8" t="s">
        <v>121</v>
      </c>
      <c r="N2" s="40">
        <f>AVERAGE(J37:J56)</f>
        <v>2.8819458333333336E-2</v>
      </c>
    </row>
    <row r="3" spans="2:14" x14ac:dyDescent="0.3">
      <c r="B3" s="2">
        <v>25600</v>
      </c>
      <c r="C3" s="3">
        <v>7.2400000000000006E-2</v>
      </c>
      <c r="D3" s="3">
        <v>7.2400000000000006E-2</v>
      </c>
      <c r="E3" s="3">
        <v>7.2400000000000006E-2</v>
      </c>
      <c r="F3" s="3">
        <v>7.2400000000000006E-2</v>
      </c>
      <c r="G3" s="1">
        <v>-7.0599999999999996E-2</v>
      </c>
      <c r="I3" s="4">
        <v>1970</v>
      </c>
      <c r="J3" s="3">
        <f>AVERAGEIFS($C$3:$C$649,$B$3:$B$649,"&gt;="&amp;DATE(I3,1,1),$B$3:$B$649,"&lt;="&amp;DATE(I3,12,1))</f>
        <v>7.3081818181818192E-2</v>
      </c>
    </row>
    <row r="4" spans="2:14" ht="14.5" x14ac:dyDescent="0.35">
      <c r="B4" s="2">
        <v>25628</v>
      </c>
      <c r="C4" s="3">
        <v>7.0699999999999999E-2</v>
      </c>
      <c r="D4" s="3">
        <v>7.0699999999999999E-2</v>
      </c>
      <c r="E4" s="3">
        <v>7.0699999999999999E-2</v>
      </c>
      <c r="F4" s="3">
        <v>7.0699999999999999E-2</v>
      </c>
      <c r="G4" s="1">
        <v>-2.35E-2</v>
      </c>
      <c r="I4" s="4">
        <f>I3+1</f>
        <v>1971</v>
      </c>
      <c r="J4" s="3">
        <f t="shared" ref="J4:J56" si="0">AVERAGEIFS($C$3:$C$649,$B$3:$B$649,"&gt;="&amp;DATE(I4,1,1),$B$3:$B$649,"&lt;="&amp;DATE(I4,12,1))</f>
        <v>6.1591666666666663E-2</v>
      </c>
      <c r="L4" s="8" t="s">
        <v>128</v>
      </c>
      <c r="M4" s="8" t="s">
        <v>123</v>
      </c>
      <c r="N4" s="40">
        <f>AVERAGE(J42:J56)</f>
        <v>2.4112333333333336E-2</v>
      </c>
    </row>
    <row r="5" spans="2:14" x14ac:dyDescent="0.3">
      <c r="B5" s="2">
        <v>25659</v>
      </c>
      <c r="C5" s="3">
        <v>7.3899999999999993E-2</v>
      </c>
      <c r="D5" s="3">
        <v>7.3899999999999993E-2</v>
      </c>
      <c r="E5" s="3">
        <v>7.3899999999999993E-2</v>
      </c>
      <c r="F5" s="3">
        <v>7.3899999999999993E-2</v>
      </c>
      <c r="G5" s="1">
        <v>4.53E-2</v>
      </c>
      <c r="I5" s="4">
        <f t="shared" ref="I5:I56" si="1">I4+1</f>
        <v>1972</v>
      </c>
      <c r="J5" s="3">
        <f t="shared" si="0"/>
        <v>6.2099999999999995E-2</v>
      </c>
    </row>
    <row r="6" spans="2:14" ht="14.5" x14ac:dyDescent="0.35">
      <c r="B6" s="2">
        <v>25689</v>
      </c>
      <c r="C6" s="3">
        <v>7.9100000000000004E-2</v>
      </c>
      <c r="D6" s="3">
        <v>7.9100000000000004E-2</v>
      </c>
      <c r="E6" s="3">
        <v>7.9100000000000004E-2</v>
      </c>
      <c r="F6" s="3">
        <v>7.9100000000000004E-2</v>
      </c>
      <c r="G6" s="1">
        <v>7.0400000000000004E-2</v>
      </c>
      <c r="I6" s="4">
        <f t="shared" si="1"/>
        <v>1973</v>
      </c>
      <c r="J6" s="3">
        <f t="shared" si="0"/>
        <v>6.8425E-2</v>
      </c>
      <c r="L6" s="8" t="s">
        <v>128</v>
      </c>
      <c r="M6" s="8" t="s">
        <v>124</v>
      </c>
      <c r="N6" s="40">
        <f>AVERAGE(J50:J56)</f>
        <v>2.3637261904761904E-2</v>
      </c>
    </row>
    <row r="7" spans="2:14" x14ac:dyDescent="0.3">
      <c r="B7" s="2">
        <v>25720</v>
      </c>
      <c r="C7" s="3">
        <v>7.8399999999999997E-2</v>
      </c>
      <c r="D7" s="3">
        <v>7.8399999999999997E-2</v>
      </c>
      <c r="E7" s="3">
        <v>7.8399999999999997E-2</v>
      </c>
      <c r="F7" s="3">
        <v>7.8399999999999997E-2</v>
      </c>
      <c r="G7" s="1">
        <v>-8.8000000000000005E-3</v>
      </c>
      <c r="I7" s="4">
        <f t="shared" si="1"/>
        <v>1974</v>
      </c>
      <c r="J7" s="3">
        <f t="shared" si="0"/>
        <v>7.5575000000000003E-2</v>
      </c>
    </row>
    <row r="8" spans="2:14" ht="14.5" x14ac:dyDescent="0.35">
      <c r="B8" s="2">
        <v>25750</v>
      </c>
      <c r="C8" s="3">
        <v>7.46E-2</v>
      </c>
      <c r="D8" s="3">
        <v>7.46E-2</v>
      </c>
      <c r="E8" s="3">
        <v>7.46E-2</v>
      </c>
      <c r="F8" s="3">
        <v>7.46E-2</v>
      </c>
      <c r="G8" s="1">
        <v>-4.8500000000000001E-2</v>
      </c>
      <c r="I8" s="4">
        <f t="shared" si="1"/>
        <v>1975</v>
      </c>
      <c r="J8" s="3">
        <f t="shared" si="0"/>
        <v>7.9875000000000002E-2</v>
      </c>
      <c r="L8" s="8" t="s">
        <v>128</v>
      </c>
      <c r="M8" s="8" t="s">
        <v>125</v>
      </c>
      <c r="N8" s="40">
        <f>AVERAGE(J52:J56)</f>
        <v>2.264E-2</v>
      </c>
    </row>
    <row r="9" spans="2:14" x14ac:dyDescent="0.3">
      <c r="B9" s="2">
        <v>25781</v>
      </c>
      <c r="C9" s="3">
        <v>7.5300000000000006E-2</v>
      </c>
      <c r="D9" s="3">
        <v>7.5300000000000006E-2</v>
      </c>
      <c r="E9" s="3">
        <v>7.5300000000000006E-2</v>
      </c>
      <c r="F9" s="3">
        <v>7.5300000000000006E-2</v>
      </c>
      <c r="G9" s="1">
        <v>9.4000000000000004E-3</v>
      </c>
      <c r="I9" s="4">
        <f t="shared" si="1"/>
        <v>1976</v>
      </c>
      <c r="J9" s="3">
        <f t="shared" si="0"/>
        <v>7.6116666666666666E-2</v>
      </c>
    </row>
    <row r="10" spans="2:14" ht="14.5" x14ac:dyDescent="0.35">
      <c r="B10" s="2">
        <v>25812</v>
      </c>
      <c r="C10" s="3">
        <v>7.3899999999999993E-2</v>
      </c>
      <c r="D10" s="3">
        <v>7.3899999999999993E-2</v>
      </c>
      <c r="E10" s="3">
        <v>7.3899999999999993E-2</v>
      </c>
      <c r="F10" s="3">
        <v>7.3899999999999993E-2</v>
      </c>
      <c r="G10" s="1">
        <v>-1.8599999999999998E-2</v>
      </c>
      <c r="I10" s="4">
        <f t="shared" si="1"/>
        <v>1977</v>
      </c>
      <c r="J10" s="3">
        <f t="shared" si="0"/>
        <v>7.419166666666667E-2</v>
      </c>
      <c r="L10" s="8" t="s">
        <v>128</v>
      </c>
      <c r="M10" s="8" t="s">
        <v>126</v>
      </c>
      <c r="N10" s="40">
        <f>J56</f>
        <v>3.9670833333333329E-2</v>
      </c>
    </row>
    <row r="11" spans="2:14" x14ac:dyDescent="0.3">
      <c r="B11" s="2">
        <v>25842</v>
      </c>
      <c r="C11" s="3">
        <v>7.3300000000000004E-2</v>
      </c>
      <c r="D11" s="3">
        <v>7.3300000000000004E-2</v>
      </c>
      <c r="E11" s="3">
        <v>7.3300000000000004E-2</v>
      </c>
      <c r="F11" s="3">
        <v>7.3300000000000004E-2</v>
      </c>
      <c r="G11" s="1">
        <v>-8.0999999999999996E-3</v>
      </c>
      <c r="I11" s="4">
        <f t="shared" si="1"/>
        <v>1978</v>
      </c>
      <c r="J11" s="3">
        <f t="shared" si="0"/>
        <v>8.4100000000000022E-2</v>
      </c>
    </row>
    <row r="12" spans="2:14" x14ac:dyDescent="0.3">
      <c r="B12" s="2">
        <v>25873</v>
      </c>
      <c r="C12" s="3">
        <v>6.8400000000000002E-2</v>
      </c>
      <c r="D12" s="3">
        <v>6.8400000000000002E-2</v>
      </c>
      <c r="E12" s="3">
        <v>6.8400000000000002E-2</v>
      </c>
      <c r="F12" s="3">
        <v>6.8400000000000002E-2</v>
      </c>
      <c r="G12" s="1">
        <v>-6.6799999999999998E-2</v>
      </c>
      <c r="I12" s="4">
        <f t="shared" si="1"/>
        <v>1979</v>
      </c>
      <c r="J12" s="3">
        <f t="shared" si="0"/>
        <v>9.4424999999999995E-2</v>
      </c>
    </row>
    <row r="13" spans="2:14" x14ac:dyDescent="0.3">
      <c r="B13" s="2">
        <v>25903</v>
      </c>
      <c r="C13" s="3">
        <v>6.3899999999999998E-2</v>
      </c>
      <c r="D13" s="3">
        <v>6.3899999999999998E-2</v>
      </c>
      <c r="E13" s="3">
        <v>6.3899999999999998E-2</v>
      </c>
      <c r="F13" s="3">
        <v>6.3899999999999998E-2</v>
      </c>
      <c r="G13" s="1">
        <v>-6.5799999999999997E-2</v>
      </c>
      <c r="I13" s="4">
        <f t="shared" si="1"/>
        <v>1980</v>
      </c>
      <c r="J13" s="3">
        <f t="shared" si="0"/>
        <v>0.11413583333333333</v>
      </c>
    </row>
    <row r="14" spans="2:14" x14ac:dyDescent="0.3">
      <c r="B14" s="2">
        <v>25934</v>
      </c>
      <c r="C14" s="3">
        <v>6.2400000000000004E-2</v>
      </c>
      <c r="D14" s="3">
        <v>6.2400000000000004E-2</v>
      </c>
      <c r="E14" s="3">
        <v>6.2400000000000004E-2</v>
      </c>
      <c r="F14" s="3">
        <v>6.2400000000000004E-2</v>
      </c>
      <c r="G14" s="1">
        <v>-2.35E-2</v>
      </c>
      <c r="I14" s="4">
        <f t="shared" si="1"/>
        <v>1981</v>
      </c>
      <c r="J14" s="3">
        <f t="shared" si="0"/>
        <v>0.14012916666666667</v>
      </c>
    </row>
    <row r="15" spans="2:14" x14ac:dyDescent="0.3">
      <c r="B15" s="2">
        <v>25965</v>
      </c>
      <c r="C15" s="3">
        <v>6.1100000000000002E-2</v>
      </c>
      <c r="D15" s="3">
        <v>6.1100000000000002E-2</v>
      </c>
      <c r="E15" s="3">
        <v>6.1100000000000002E-2</v>
      </c>
      <c r="F15" s="3">
        <v>6.1100000000000002E-2</v>
      </c>
      <c r="G15" s="1">
        <v>-2.0799999999999999E-2</v>
      </c>
      <c r="I15" s="4">
        <f t="shared" si="1"/>
        <v>1982</v>
      </c>
      <c r="J15" s="3">
        <f t="shared" si="0"/>
        <v>0.12948250000000003</v>
      </c>
    </row>
    <row r="16" spans="2:14" x14ac:dyDescent="0.3">
      <c r="B16" s="2">
        <v>25993</v>
      </c>
      <c r="C16" s="3">
        <v>5.7000000000000002E-2</v>
      </c>
      <c r="D16" s="3">
        <v>5.7000000000000002E-2</v>
      </c>
      <c r="E16" s="3">
        <v>5.7000000000000002E-2</v>
      </c>
      <c r="F16" s="3">
        <v>5.7000000000000002E-2</v>
      </c>
      <c r="G16" s="1">
        <v>-6.7100000000000007E-2</v>
      </c>
      <c r="I16" s="4">
        <f t="shared" si="1"/>
        <v>1983</v>
      </c>
      <c r="J16" s="3">
        <f t="shared" si="0"/>
        <v>0.11136916666666667</v>
      </c>
    </row>
    <row r="17" spans="2:10" x14ac:dyDescent="0.3">
      <c r="B17" s="2">
        <v>26024</v>
      </c>
      <c r="C17" s="3">
        <v>5.8299999999999998E-2</v>
      </c>
      <c r="D17" s="3">
        <v>5.8299999999999998E-2</v>
      </c>
      <c r="E17" s="3">
        <v>5.8299999999999998E-2</v>
      </c>
      <c r="F17" s="3">
        <v>5.8299999999999998E-2</v>
      </c>
      <c r="G17" s="1">
        <v>2.2800000000000001E-2</v>
      </c>
      <c r="I17" s="4">
        <f t="shared" si="1"/>
        <v>1984</v>
      </c>
      <c r="J17" s="3">
        <f t="shared" si="0"/>
        <v>0.12481333333333335</v>
      </c>
    </row>
    <row r="18" spans="2:10" x14ac:dyDescent="0.3">
      <c r="B18" s="2">
        <v>26054</v>
      </c>
      <c r="C18" s="3">
        <v>6.3899999999999998E-2</v>
      </c>
      <c r="D18" s="3">
        <v>6.3899999999999998E-2</v>
      </c>
      <c r="E18" s="3">
        <v>6.3899999999999998E-2</v>
      </c>
      <c r="F18" s="3">
        <v>6.3899999999999998E-2</v>
      </c>
      <c r="G18" s="1">
        <v>9.6100000000000005E-2</v>
      </c>
      <c r="I18" s="4">
        <f t="shared" si="1"/>
        <v>1985</v>
      </c>
      <c r="J18" s="3">
        <f t="shared" si="0"/>
        <v>0.10533583333333334</v>
      </c>
    </row>
    <row r="19" spans="2:10" x14ac:dyDescent="0.3">
      <c r="B19" s="2">
        <v>26085</v>
      </c>
      <c r="C19" s="3">
        <v>6.5199999999999994E-2</v>
      </c>
      <c r="D19" s="3">
        <v>6.5199999999999994E-2</v>
      </c>
      <c r="E19" s="3">
        <v>6.5199999999999994E-2</v>
      </c>
      <c r="F19" s="3">
        <v>6.5199999999999994E-2</v>
      </c>
      <c r="G19" s="1">
        <v>2.0299999999999999E-2</v>
      </c>
      <c r="I19" s="4">
        <f t="shared" si="1"/>
        <v>1986</v>
      </c>
      <c r="J19" s="3">
        <f t="shared" si="0"/>
        <v>7.5632500000000005E-2</v>
      </c>
    </row>
    <row r="20" spans="2:10" x14ac:dyDescent="0.3">
      <c r="B20" s="2">
        <v>26115</v>
      </c>
      <c r="C20" s="3">
        <v>6.7299999999999999E-2</v>
      </c>
      <c r="D20" s="3">
        <v>6.7299999999999999E-2</v>
      </c>
      <c r="E20" s="3">
        <v>6.7299999999999999E-2</v>
      </c>
      <c r="F20" s="3">
        <v>6.7299999999999999E-2</v>
      </c>
      <c r="G20" s="1">
        <v>3.2199999999999999E-2</v>
      </c>
      <c r="I20" s="4">
        <f t="shared" si="1"/>
        <v>1987</v>
      </c>
      <c r="J20" s="3">
        <f t="shared" si="0"/>
        <v>8.3972500000000005E-2</v>
      </c>
    </row>
    <row r="21" spans="2:10" x14ac:dyDescent="0.3">
      <c r="B21" s="2">
        <v>26146</v>
      </c>
      <c r="C21" s="3">
        <v>6.5799999999999997E-2</v>
      </c>
      <c r="D21" s="3">
        <v>6.5799999999999997E-2</v>
      </c>
      <c r="E21" s="3">
        <v>6.5799999999999997E-2</v>
      </c>
      <c r="F21" s="3">
        <v>6.5799999999999997E-2</v>
      </c>
      <c r="G21" s="1">
        <v>-2.23E-2</v>
      </c>
      <c r="I21" s="4">
        <f t="shared" si="1"/>
        <v>1988</v>
      </c>
      <c r="J21" s="3">
        <f t="shared" si="0"/>
        <v>8.8300833333333328E-2</v>
      </c>
    </row>
    <row r="22" spans="2:10" x14ac:dyDescent="0.3">
      <c r="B22" s="2">
        <v>26177</v>
      </c>
      <c r="C22" s="3">
        <v>6.1399999999999996E-2</v>
      </c>
      <c r="D22" s="3">
        <v>6.1399999999999996E-2</v>
      </c>
      <c r="E22" s="3">
        <v>6.1399999999999996E-2</v>
      </c>
      <c r="F22" s="3">
        <v>6.1399999999999996E-2</v>
      </c>
      <c r="G22" s="1">
        <v>-6.6900000000000001E-2</v>
      </c>
      <c r="I22" s="4">
        <f t="shared" si="1"/>
        <v>1989</v>
      </c>
      <c r="J22" s="3">
        <f t="shared" si="0"/>
        <v>8.4510833333333327E-2</v>
      </c>
    </row>
    <row r="23" spans="2:10" x14ac:dyDescent="0.3">
      <c r="B23" s="2">
        <v>26207</v>
      </c>
      <c r="C23" s="3">
        <v>5.9299999999999999E-2</v>
      </c>
      <c r="D23" s="3">
        <v>5.9299999999999999E-2</v>
      </c>
      <c r="E23" s="3">
        <v>5.9299999999999999E-2</v>
      </c>
      <c r="F23" s="3">
        <v>5.9299999999999999E-2</v>
      </c>
      <c r="G23" s="1">
        <v>-3.4200000000000001E-2</v>
      </c>
      <c r="I23" s="4">
        <f t="shared" si="1"/>
        <v>1990</v>
      </c>
      <c r="J23" s="3">
        <f t="shared" si="0"/>
        <v>8.5555833333333331E-2</v>
      </c>
    </row>
    <row r="24" spans="2:10" x14ac:dyDescent="0.3">
      <c r="B24" s="2">
        <v>26238</v>
      </c>
      <c r="C24" s="3">
        <v>5.8099999999999999E-2</v>
      </c>
      <c r="D24" s="3">
        <v>5.8099999999999999E-2</v>
      </c>
      <c r="E24" s="3">
        <v>5.8099999999999999E-2</v>
      </c>
      <c r="F24" s="3">
        <v>5.8099999999999999E-2</v>
      </c>
      <c r="G24" s="1">
        <v>-2.0199999999999999E-2</v>
      </c>
      <c r="I24" s="4">
        <f t="shared" si="1"/>
        <v>1991</v>
      </c>
      <c r="J24" s="3">
        <f t="shared" si="0"/>
        <v>7.7799166666666669E-2</v>
      </c>
    </row>
    <row r="25" spans="2:10" x14ac:dyDescent="0.3">
      <c r="B25" s="2">
        <v>26268</v>
      </c>
      <c r="C25" s="3">
        <v>5.9299999999999999E-2</v>
      </c>
      <c r="D25" s="3">
        <v>5.9299999999999999E-2</v>
      </c>
      <c r="E25" s="3">
        <v>5.9299999999999999E-2</v>
      </c>
      <c r="F25" s="3">
        <v>5.9299999999999999E-2</v>
      </c>
      <c r="G25" s="1">
        <v>2.07E-2</v>
      </c>
      <c r="I25" s="4">
        <f t="shared" si="1"/>
        <v>1992</v>
      </c>
      <c r="J25" s="3">
        <f t="shared" si="0"/>
        <v>7.0122500000000004E-2</v>
      </c>
    </row>
    <row r="26" spans="2:10" x14ac:dyDescent="0.3">
      <c r="B26" s="2">
        <v>26299</v>
      </c>
      <c r="C26" s="3">
        <v>5.9500000000000004E-2</v>
      </c>
      <c r="D26" s="3">
        <v>5.9500000000000004E-2</v>
      </c>
      <c r="E26" s="3">
        <v>5.9500000000000004E-2</v>
      </c>
      <c r="F26" s="3">
        <v>5.9500000000000004E-2</v>
      </c>
      <c r="G26" s="1">
        <v>3.3999999999999998E-3</v>
      </c>
      <c r="I26" s="4">
        <f t="shared" si="1"/>
        <v>1993</v>
      </c>
      <c r="J26" s="3">
        <f t="shared" si="0"/>
        <v>5.8290000000000002E-2</v>
      </c>
    </row>
    <row r="27" spans="2:10" x14ac:dyDescent="0.3">
      <c r="B27" s="2">
        <v>26330</v>
      </c>
      <c r="C27" s="3">
        <v>6.08E-2</v>
      </c>
      <c r="D27" s="3">
        <v>6.08E-2</v>
      </c>
      <c r="E27" s="3">
        <v>6.08E-2</v>
      </c>
      <c r="F27" s="3">
        <v>6.08E-2</v>
      </c>
      <c r="G27" s="1">
        <v>2.18E-2</v>
      </c>
      <c r="I27" s="4">
        <f t="shared" si="1"/>
        <v>1994</v>
      </c>
      <c r="J27" s="3">
        <f t="shared" si="0"/>
        <v>7.1234999999999993E-2</v>
      </c>
    </row>
    <row r="28" spans="2:10" x14ac:dyDescent="0.3">
      <c r="B28" s="2">
        <v>26359</v>
      </c>
      <c r="C28" s="3">
        <v>6.0700000000000004E-2</v>
      </c>
      <c r="D28" s="3">
        <v>6.0700000000000004E-2</v>
      </c>
      <c r="E28" s="3">
        <v>6.0700000000000004E-2</v>
      </c>
      <c r="F28" s="3">
        <v>6.0700000000000004E-2</v>
      </c>
      <c r="G28" s="1">
        <v>-1.6000000000000001E-3</v>
      </c>
      <c r="I28" s="4">
        <f t="shared" si="1"/>
        <v>1995</v>
      </c>
      <c r="J28" s="3">
        <f t="shared" si="0"/>
        <v>6.4805000000000001E-2</v>
      </c>
    </row>
    <row r="29" spans="2:10" x14ac:dyDescent="0.3">
      <c r="B29" s="2">
        <v>26390</v>
      </c>
      <c r="C29" s="3">
        <v>6.1900000000000004E-2</v>
      </c>
      <c r="D29" s="3">
        <v>6.1900000000000004E-2</v>
      </c>
      <c r="E29" s="3">
        <v>6.1900000000000004E-2</v>
      </c>
      <c r="F29" s="3">
        <v>6.1900000000000004E-2</v>
      </c>
      <c r="G29" s="1">
        <v>1.9800000000000002E-2</v>
      </c>
      <c r="I29" s="4">
        <f t="shared" si="1"/>
        <v>1996</v>
      </c>
      <c r="J29" s="3">
        <f t="shared" si="0"/>
        <v>6.4599999999999991E-2</v>
      </c>
    </row>
    <row r="30" spans="2:10" x14ac:dyDescent="0.3">
      <c r="B30" s="2">
        <v>26420</v>
      </c>
      <c r="C30" s="3">
        <v>6.13E-2</v>
      </c>
      <c r="D30" s="3">
        <v>6.13E-2</v>
      </c>
      <c r="E30" s="3">
        <v>6.13E-2</v>
      </c>
      <c r="F30" s="3">
        <v>6.13E-2</v>
      </c>
      <c r="G30" s="1">
        <v>-9.7000000000000003E-3</v>
      </c>
      <c r="I30" s="4">
        <f>I29+1</f>
        <v>1997</v>
      </c>
      <c r="J30" s="3">
        <f t="shared" si="0"/>
        <v>6.3130000000000006E-2</v>
      </c>
    </row>
    <row r="31" spans="2:10" x14ac:dyDescent="0.3">
      <c r="B31" s="2">
        <v>26451</v>
      </c>
      <c r="C31" s="3">
        <v>6.1100000000000002E-2</v>
      </c>
      <c r="D31" s="3">
        <v>6.1100000000000002E-2</v>
      </c>
      <c r="E31" s="3">
        <v>6.1100000000000002E-2</v>
      </c>
      <c r="F31" s="3">
        <v>6.1100000000000002E-2</v>
      </c>
      <c r="G31" s="1">
        <v>-3.3E-3</v>
      </c>
      <c r="I31" s="4">
        <f t="shared" si="1"/>
        <v>1998</v>
      </c>
      <c r="J31" s="3">
        <f t="shared" si="0"/>
        <v>5.2140833333333331E-2</v>
      </c>
    </row>
    <row r="32" spans="2:10" x14ac:dyDescent="0.3">
      <c r="B32" s="2">
        <v>26481</v>
      </c>
      <c r="C32" s="3">
        <v>6.1100000000000002E-2</v>
      </c>
      <c r="D32" s="3">
        <v>6.1100000000000002E-2</v>
      </c>
      <c r="E32" s="3">
        <v>6.1100000000000002E-2</v>
      </c>
      <c r="F32" s="3">
        <v>6.1100000000000002E-2</v>
      </c>
      <c r="G32" s="1">
        <v>0</v>
      </c>
      <c r="I32" s="4">
        <f t="shared" si="1"/>
        <v>1999</v>
      </c>
      <c r="J32" s="3">
        <f t="shared" si="0"/>
        <v>5.6967500000000004E-2</v>
      </c>
    </row>
    <row r="33" spans="2:10" x14ac:dyDescent="0.3">
      <c r="B33" s="2">
        <v>26512</v>
      </c>
      <c r="C33" s="3">
        <v>6.2100000000000002E-2</v>
      </c>
      <c r="D33" s="3">
        <v>6.2100000000000002E-2</v>
      </c>
      <c r="E33" s="3">
        <v>6.2100000000000002E-2</v>
      </c>
      <c r="F33" s="3">
        <v>6.2100000000000002E-2</v>
      </c>
      <c r="G33" s="1">
        <v>1.6400000000000001E-2</v>
      </c>
      <c r="I33" s="4">
        <f t="shared" si="1"/>
        <v>2000</v>
      </c>
      <c r="J33" s="3">
        <f t="shared" si="0"/>
        <v>5.9609166666666678E-2</v>
      </c>
    </row>
    <row r="34" spans="2:10" x14ac:dyDescent="0.3">
      <c r="B34" s="2">
        <v>26543</v>
      </c>
      <c r="C34" s="3">
        <v>6.5500000000000003E-2</v>
      </c>
      <c r="D34" s="3">
        <v>6.5500000000000003E-2</v>
      </c>
      <c r="E34" s="3">
        <v>6.5500000000000003E-2</v>
      </c>
      <c r="F34" s="3">
        <v>6.5500000000000003E-2</v>
      </c>
      <c r="G34" s="1">
        <v>5.4800000000000001E-2</v>
      </c>
      <c r="I34" s="4">
        <f t="shared" si="1"/>
        <v>2001</v>
      </c>
      <c r="J34" s="3">
        <f t="shared" si="0"/>
        <v>4.9639999999999997E-2</v>
      </c>
    </row>
    <row r="35" spans="2:10" x14ac:dyDescent="0.3">
      <c r="B35" s="2">
        <v>26573</v>
      </c>
      <c r="C35" s="3">
        <v>6.480000000000001E-2</v>
      </c>
      <c r="D35" s="3">
        <v>6.480000000000001E-2</v>
      </c>
      <c r="E35" s="3">
        <v>6.480000000000001E-2</v>
      </c>
      <c r="F35" s="3">
        <v>6.480000000000001E-2</v>
      </c>
      <c r="G35" s="1">
        <v>-1.0699999999999999E-2</v>
      </c>
      <c r="I35" s="4">
        <f t="shared" si="1"/>
        <v>2002</v>
      </c>
      <c r="J35" s="3">
        <f t="shared" si="0"/>
        <v>4.5318333333333342E-2</v>
      </c>
    </row>
    <row r="36" spans="2:10" x14ac:dyDescent="0.3">
      <c r="B36" s="2">
        <v>26604</v>
      </c>
      <c r="C36" s="3">
        <v>6.2800000000000009E-2</v>
      </c>
      <c r="D36" s="3">
        <v>6.2800000000000009E-2</v>
      </c>
      <c r="E36" s="3">
        <v>6.2800000000000009E-2</v>
      </c>
      <c r="F36" s="3">
        <v>6.2800000000000009E-2</v>
      </c>
      <c r="G36" s="1">
        <v>-3.09E-2</v>
      </c>
      <c r="I36" s="4">
        <f t="shared" si="1"/>
        <v>2003</v>
      </c>
      <c r="J36" s="3">
        <f t="shared" si="0"/>
        <v>3.9910833333333333E-2</v>
      </c>
    </row>
    <row r="37" spans="2:10" x14ac:dyDescent="0.3">
      <c r="B37" s="2">
        <v>26634</v>
      </c>
      <c r="C37" s="3">
        <v>6.3600000000000004E-2</v>
      </c>
      <c r="D37" s="3">
        <v>6.3600000000000004E-2</v>
      </c>
      <c r="E37" s="3">
        <v>6.3600000000000004E-2</v>
      </c>
      <c r="F37" s="3">
        <v>6.3600000000000004E-2</v>
      </c>
      <c r="G37" s="1">
        <v>1.2699999999999999E-2</v>
      </c>
      <c r="I37" s="4">
        <f t="shared" si="1"/>
        <v>2004</v>
      </c>
      <c r="J37" s="3">
        <f t="shared" si="0"/>
        <v>4.2634166666666667E-2</v>
      </c>
    </row>
    <row r="38" spans="2:10" x14ac:dyDescent="0.3">
      <c r="B38" s="2">
        <v>26665</v>
      </c>
      <c r="C38" s="3">
        <v>6.4600000000000005E-2</v>
      </c>
      <c r="D38" s="3">
        <v>6.4600000000000005E-2</v>
      </c>
      <c r="E38" s="3">
        <v>6.4600000000000005E-2</v>
      </c>
      <c r="F38" s="3">
        <v>6.4600000000000005E-2</v>
      </c>
      <c r="G38" s="1">
        <v>1.5699999999999999E-2</v>
      </c>
      <c r="I38" s="4">
        <f t="shared" si="1"/>
        <v>2005</v>
      </c>
      <c r="J38" s="3">
        <f t="shared" si="0"/>
        <v>4.2649166666666662E-2</v>
      </c>
    </row>
    <row r="39" spans="2:10" x14ac:dyDescent="0.3">
      <c r="B39" s="2">
        <v>26696</v>
      </c>
      <c r="C39" s="3">
        <v>6.6400000000000001E-2</v>
      </c>
      <c r="D39" s="3">
        <v>6.6400000000000001E-2</v>
      </c>
      <c r="E39" s="3">
        <v>6.6400000000000001E-2</v>
      </c>
      <c r="F39" s="3">
        <v>6.6400000000000001E-2</v>
      </c>
      <c r="G39" s="1">
        <v>2.7900000000000001E-2</v>
      </c>
      <c r="I39" s="4">
        <f t="shared" si="1"/>
        <v>2006</v>
      </c>
      <c r="J39" s="3">
        <f t="shared" si="0"/>
        <v>4.7810833333333337E-2</v>
      </c>
    </row>
    <row r="40" spans="2:10" x14ac:dyDescent="0.3">
      <c r="B40" s="2">
        <v>26724</v>
      </c>
      <c r="C40" s="3">
        <v>6.7099999999999993E-2</v>
      </c>
      <c r="D40" s="3">
        <v>6.7099999999999993E-2</v>
      </c>
      <c r="E40" s="3">
        <v>6.7099999999999993E-2</v>
      </c>
      <c r="F40" s="3">
        <v>6.7099999999999993E-2</v>
      </c>
      <c r="G40" s="1">
        <v>1.0500000000000001E-2</v>
      </c>
      <c r="I40" s="4">
        <f t="shared" si="1"/>
        <v>2007</v>
      </c>
      <c r="J40" s="3">
        <f t="shared" si="0"/>
        <v>4.5747499999999997E-2</v>
      </c>
    </row>
    <row r="41" spans="2:10" x14ac:dyDescent="0.3">
      <c r="B41" s="2">
        <v>26755</v>
      </c>
      <c r="C41" s="3">
        <v>6.6699999999999995E-2</v>
      </c>
      <c r="D41" s="3">
        <v>6.6699999999999995E-2</v>
      </c>
      <c r="E41" s="3">
        <v>6.6699999999999995E-2</v>
      </c>
      <c r="F41" s="3">
        <v>6.6699999999999995E-2</v>
      </c>
      <c r="G41" s="1">
        <v>-6.0000000000000001E-3</v>
      </c>
      <c r="I41" s="4">
        <f t="shared" si="1"/>
        <v>2008</v>
      </c>
      <c r="J41" s="3">
        <f t="shared" si="0"/>
        <v>3.5862499999999999E-2</v>
      </c>
    </row>
    <row r="42" spans="2:10" x14ac:dyDescent="0.3">
      <c r="B42" s="2">
        <v>26785</v>
      </c>
      <c r="C42" s="3">
        <v>6.8499999999999991E-2</v>
      </c>
      <c r="D42" s="3">
        <v>6.8499999999999991E-2</v>
      </c>
      <c r="E42" s="3">
        <v>6.8499999999999991E-2</v>
      </c>
      <c r="F42" s="3">
        <v>6.8499999999999991E-2</v>
      </c>
      <c r="G42" s="1">
        <v>2.7E-2</v>
      </c>
      <c r="I42" s="4">
        <f t="shared" si="1"/>
        <v>2009</v>
      </c>
      <c r="J42" s="3">
        <f t="shared" si="0"/>
        <v>3.272333333333334E-2</v>
      </c>
    </row>
    <row r="43" spans="2:10" x14ac:dyDescent="0.3">
      <c r="B43" s="2">
        <v>26816</v>
      </c>
      <c r="C43" s="3">
        <v>6.9000000000000006E-2</v>
      </c>
      <c r="D43" s="3">
        <v>6.9000000000000006E-2</v>
      </c>
      <c r="E43" s="3">
        <v>6.9000000000000006E-2</v>
      </c>
      <c r="F43" s="3">
        <v>6.9000000000000006E-2</v>
      </c>
      <c r="G43" s="1">
        <v>7.3000000000000001E-3</v>
      </c>
      <c r="I43" s="4">
        <f t="shared" si="1"/>
        <v>2010</v>
      </c>
      <c r="J43" s="3">
        <f t="shared" si="0"/>
        <v>3.1260000000000003E-2</v>
      </c>
    </row>
    <row r="44" spans="2:10" x14ac:dyDescent="0.3">
      <c r="B44" s="2">
        <v>26846</v>
      </c>
      <c r="C44" s="3">
        <v>7.1300000000000002E-2</v>
      </c>
      <c r="D44" s="3">
        <v>7.1300000000000002E-2</v>
      </c>
      <c r="E44" s="3">
        <v>7.1300000000000002E-2</v>
      </c>
      <c r="F44" s="3">
        <v>7.1300000000000002E-2</v>
      </c>
      <c r="G44" s="1">
        <v>3.3300000000000003E-2</v>
      </c>
      <c r="I44" s="4">
        <f t="shared" si="1"/>
        <v>2011</v>
      </c>
      <c r="J44" s="3">
        <f t="shared" si="0"/>
        <v>2.7319166666666672E-2</v>
      </c>
    </row>
    <row r="45" spans="2:10" x14ac:dyDescent="0.3">
      <c r="B45" s="2">
        <v>26877</v>
      </c>
      <c r="C45" s="3">
        <v>7.400000000000001E-2</v>
      </c>
      <c r="D45" s="3">
        <v>7.400000000000001E-2</v>
      </c>
      <c r="E45" s="3">
        <v>7.400000000000001E-2</v>
      </c>
      <c r="F45" s="3">
        <v>7.400000000000001E-2</v>
      </c>
      <c r="G45" s="1">
        <v>3.7900000000000003E-2</v>
      </c>
      <c r="I45" s="4">
        <f t="shared" si="1"/>
        <v>2012</v>
      </c>
      <c r="J45" s="3">
        <f t="shared" si="0"/>
        <v>1.7355000000000002E-2</v>
      </c>
    </row>
    <row r="46" spans="2:10" x14ac:dyDescent="0.3">
      <c r="B46" s="2">
        <v>26908</v>
      </c>
      <c r="C46" s="3">
        <v>7.0900000000000005E-2</v>
      </c>
      <c r="D46" s="3">
        <v>7.0900000000000005E-2</v>
      </c>
      <c r="E46" s="3">
        <v>7.0900000000000005E-2</v>
      </c>
      <c r="F46" s="3">
        <v>7.0900000000000005E-2</v>
      </c>
      <c r="G46" s="1">
        <v>-4.19E-2</v>
      </c>
      <c r="I46" s="4">
        <f t="shared" si="1"/>
        <v>2013</v>
      </c>
      <c r="J46" s="3">
        <f t="shared" si="0"/>
        <v>2.3605000000000001E-2</v>
      </c>
    </row>
    <row r="47" spans="2:10" x14ac:dyDescent="0.3">
      <c r="B47" s="2">
        <v>26938</v>
      </c>
      <c r="C47" s="3">
        <v>6.7900000000000002E-2</v>
      </c>
      <c r="D47" s="3">
        <v>6.7900000000000002E-2</v>
      </c>
      <c r="E47" s="3">
        <v>6.7900000000000002E-2</v>
      </c>
      <c r="F47" s="3">
        <v>6.7900000000000002E-2</v>
      </c>
      <c r="G47" s="1">
        <v>-4.2299999999999997E-2</v>
      </c>
      <c r="I47" s="4">
        <f>I46+1</f>
        <v>2014</v>
      </c>
      <c r="J47" s="3">
        <f t="shared" si="0"/>
        <v>2.4787500000000004E-2</v>
      </c>
    </row>
    <row r="48" spans="2:10" x14ac:dyDescent="0.3">
      <c r="B48" s="2">
        <v>26969</v>
      </c>
      <c r="C48" s="3">
        <v>6.7299999999999999E-2</v>
      </c>
      <c r="D48" s="3">
        <v>6.7299999999999999E-2</v>
      </c>
      <c r="E48" s="3">
        <v>6.7299999999999999E-2</v>
      </c>
      <c r="F48" s="3">
        <v>6.7299999999999999E-2</v>
      </c>
      <c r="G48" s="1">
        <v>-8.8000000000000005E-3</v>
      </c>
      <c r="I48" s="4">
        <f t="shared" si="1"/>
        <v>2015</v>
      </c>
      <c r="J48" s="3">
        <f t="shared" si="0"/>
        <v>2.0940833333333329E-2</v>
      </c>
    </row>
    <row r="49" spans="2:10" x14ac:dyDescent="0.3">
      <c r="B49" s="2">
        <v>26999</v>
      </c>
      <c r="C49" s="3">
        <v>6.7400000000000002E-2</v>
      </c>
      <c r="D49" s="3">
        <v>6.7400000000000002E-2</v>
      </c>
      <c r="E49" s="3">
        <v>6.7400000000000002E-2</v>
      </c>
      <c r="F49" s="3">
        <v>6.7400000000000002E-2</v>
      </c>
      <c r="G49" s="1">
        <v>1.5E-3</v>
      </c>
      <c r="I49" s="4">
        <f t="shared" si="1"/>
        <v>2016</v>
      </c>
      <c r="J49" s="3">
        <f t="shared" si="0"/>
        <v>1.8233333333333334E-2</v>
      </c>
    </row>
    <row r="50" spans="2:10" x14ac:dyDescent="0.3">
      <c r="B50" s="2">
        <v>27030</v>
      </c>
      <c r="C50" s="3">
        <v>6.9900000000000004E-2</v>
      </c>
      <c r="D50" s="3">
        <v>6.9900000000000004E-2</v>
      </c>
      <c r="E50" s="3">
        <v>6.9900000000000004E-2</v>
      </c>
      <c r="F50" s="3">
        <v>6.9900000000000004E-2</v>
      </c>
      <c r="G50" s="1">
        <v>3.7100000000000001E-2</v>
      </c>
      <c r="I50" s="4">
        <f t="shared" si="1"/>
        <v>2017</v>
      </c>
      <c r="J50" s="3">
        <f t="shared" si="0"/>
        <v>2.3337500000000001E-2</v>
      </c>
    </row>
    <row r="51" spans="2:10" x14ac:dyDescent="0.3">
      <c r="B51" s="2">
        <v>27061</v>
      </c>
      <c r="C51" s="3">
        <v>6.9599999999999995E-2</v>
      </c>
      <c r="D51" s="3">
        <v>6.9599999999999995E-2</v>
      </c>
      <c r="E51" s="3">
        <v>6.9599999999999995E-2</v>
      </c>
      <c r="F51" s="3">
        <v>6.9599999999999995E-2</v>
      </c>
      <c r="G51" s="1">
        <v>-4.3E-3</v>
      </c>
      <c r="I51" s="4">
        <f t="shared" si="1"/>
        <v>2018</v>
      </c>
      <c r="J51" s="3">
        <f t="shared" si="0"/>
        <v>2.8923333333333339E-2</v>
      </c>
    </row>
    <row r="52" spans="2:10" x14ac:dyDescent="0.3">
      <c r="B52" s="2">
        <v>27089</v>
      </c>
      <c r="C52" s="3">
        <v>7.2099999999999997E-2</v>
      </c>
      <c r="D52" s="3">
        <v>7.2099999999999997E-2</v>
      </c>
      <c r="E52" s="3">
        <v>7.2099999999999997E-2</v>
      </c>
      <c r="F52" s="3">
        <v>7.2099999999999997E-2</v>
      </c>
      <c r="G52" s="1">
        <v>3.5900000000000001E-2</v>
      </c>
      <c r="I52" s="4">
        <f t="shared" si="1"/>
        <v>2019</v>
      </c>
      <c r="J52" s="3">
        <f t="shared" si="0"/>
        <v>2.0796666666666668E-2</v>
      </c>
    </row>
    <row r="53" spans="2:10" x14ac:dyDescent="0.3">
      <c r="B53" s="2">
        <v>27120</v>
      </c>
      <c r="C53" s="3">
        <v>7.51E-2</v>
      </c>
      <c r="D53" s="3">
        <v>7.51E-2</v>
      </c>
      <c r="E53" s="3">
        <v>7.51E-2</v>
      </c>
      <c r="F53" s="3">
        <v>7.51E-2</v>
      </c>
      <c r="G53" s="1">
        <v>4.1599999999999998E-2</v>
      </c>
      <c r="I53" s="4">
        <f t="shared" si="1"/>
        <v>2020</v>
      </c>
      <c r="J53" s="3">
        <f t="shared" si="0"/>
        <v>8.2083333333333331E-3</v>
      </c>
    </row>
    <row r="54" spans="2:10" x14ac:dyDescent="0.3">
      <c r="B54" s="2">
        <v>27150</v>
      </c>
      <c r="C54" s="3">
        <v>7.5800000000000006E-2</v>
      </c>
      <c r="D54" s="3">
        <v>7.5800000000000006E-2</v>
      </c>
      <c r="E54" s="3">
        <v>7.5800000000000006E-2</v>
      </c>
      <c r="F54" s="3">
        <v>7.5800000000000006E-2</v>
      </c>
      <c r="G54" s="1">
        <v>9.2999999999999992E-3</v>
      </c>
      <c r="I54" s="4">
        <f t="shared" si="1"/>
        <v>2021</v>
      </c>
      <c r="J54" s="3">
        <f t="shared" si="0"/>
        <v>1.45425E-2</v>
      </c>
    </row>
    <row r="55" spans="2:10" x14ac:dyDescent="0.3">
      <c r="B55" s="2">
        <v>27181</v>
      </c>
      <c r="C55" s="3">
        <v>7.5399999999999995E-2</v>
      </c>
      <c r="D55" s="3">
        <v>7.5399999999999995E-2</v>
      </c>
      <c r="E55" s="3">
        <v>7.5399999999999995E-2</v>
      </c>
      <c r="F55" s="3">
        <v>7.5399999999999995E-2</v>
      </c>
      <c r="G55" s="1">
        <v>-5.3E-3</v>
      </c>
      <c r="I55" s="4">
        <f t="shared" si="1"/>
        <v>2022</v>
      </c>
      <c r="J55" s="3">
        <f t="shared" si="0"/>
        <v>2.9981666666666667E-2</v>
      </c>
    </row>
    <row r="56" spans="2:10" x14ac:dyDescent="0.3">
      <c r="B56" s="2">
        <v>27211</v>
      </c>
      <c r="C56" s="3">
        <v>7.8100000000000003E-2</v>
      </c>
      <c r="D56" s="3">
        <v>7.8100000000000003E-2</v>
      </c>
      <c r="E56" s="3">
        <v>7.8100000000000003E-2</v>
      </c>
      <c r="F56" s="3">
        <v>7.8100000000000003E-2</v>
      </c>
      <c r="G56" s="1">
        <v>3.5799999999999998E-2</v>
      </c>
      <c r="I56" s="4">
        <f t="shared" si="1"/>
        <v>2023</v>
      </c>
      <c r="J56" s="3">
        <f t="shared" si="0"/>
        <v>3.9670833333333329E-2</v>
      </c>
    </row>
    <row r="57" spans="2:10" x14ac:dyDescent="0.3">
      <c r="B57" s="2">
        <v>27242</v>
      </c>
      <c r="C57" s="3">
        <v>8.0399999999999985E-2</v>
      </c>
      <c r="D57" s="3">
        <v>8.0399999999999985E-2</v>
      </c>
      <c r="E57" s="3">
        <v>8.0399999999999985E-2</v>
      </c>
      <c r="F57" s="3">
        <v>8.0399999999999985E-2</v>
      </c>
      <c r="G57" s="1">
        <v>2.9399999999999999E-2</v>
      </c>
    </row>
    <row r="58" spans="2:10" x14ac:dyDescent="0.3">
      <c r="B58" s="2">
        <v>27273</v>
      </c>
      <c r="C58" s="3">
        <v>8.0399999999999985E-2</v>
      </c>
      <c r="D58" s="3">
        <v>8.0399999999999985E-2</v>
      </c>
      <c r="E58" s="3">
        <v>8.0399999999999985E-2</v>
      </c>
      <c r="F58" s="3">
        <v>8.0399999999999985E-2</v>
      </c>
      <c r="G58" s="1">
        <v>0</v>
      </c>
    </row>
    <row r="59" spans="2:10" x14ac:dyDescent="0.3">
      <c r="B59" s="2">
        <v>27303</v>
      </c>
      <c r="C59" s="3">
        <v>7.9000000000000001E-2</v>
      </c>
      <c r="D59" s="3">
        <v>7.9000000000000001E-2</v>
      </c>
      <c r="E59" s="3">
        <v>7.9000000000000001E-2</v>
      </c>
      <c r="F59" s="3">
        <v>7.9000000000000001E-2</v>
      </c>
      <c r="G59" s="1">
        <v>-1.7399999999999999E-2</v>
      </c>
    </row>
    <row r="60" spans="2:10" x14ac:dyDescent="0.3">
      <c r="B60" s="2">
        <v>27334</v>
      </c>
      <c r="C60" s="3">
        <v>7.6799999999999993E-2</v>
      </c>
      <c r="D60" s="3">
        <v>7.6799999999999993E-2</v>
      </c>
      <c r="E60" s="3">
        <v>7.6799999999999993E-2</v>
      </c>
      <c r="F60" s="3">
        <v>7.6799999999999993E-2</v>
      </c>
      <c r="G60" s="1">
        <v>-2.7799999999999998E-2</v>
      </c>
    </row>
    <row r="61" spans="2:10" x14ac:dyDescent="0.3">
      <c r="B61" s="2">
        <v>27364</v>
      </c>
      <c r="C61" s="3">
        <v>7.4299999999999991E-2</v>
      </c>
      <c r="D61" s="3">
        <v>7.4299999999999991E-2</v>
      </c>
      <c r="E61" s="3">
        <v>7.4299999999999991E-2</v>
      </c>
      <c r="F61" s="3">
        <v>7.4299999999999991E-2</v>
      </c>
      <c r="G61" s="1">
        <v>-3.2599999999999997E-2</v>
      </c>
    </row>
    <row r="62" spans="2:10" x14ac:dyDescent="0.3">
      <c r="B62" s="2">
        <v>27395</v>
      </c>
      <c r="C62" s="3">
        <v>7.4999999999999997E-2</v>
      </c>
      <c r="D62" s="3">
        <v>7.4999999999999997E-2</v>
      </c>
      <c r="E62" s="3">
        <v>7.4999999999999997E-2</v>
      </c>
      <c r="F62" s="3">
        <v>7.4999999999999997E-2</v>
      </c>
      <c r="G62" s="1">
        <v>9.4000000000000004E-3</v>
      </c>
    </row>
    <row r="63" spans="2:10" x14ac:dyDescent="0.3">
      <c r="B63" s="2">
        <v>27426</v>
      </c>
      <c r="C63" s="3">
        <v>7.3899999999999993E-2</v>
      </c>
      <c r="D63" s="3">
        <v>7.3899999999999993E-2</v>
      </c>
      <c r="E63" s="3">
        <v>7.3899999999999993E-2</v>
      </c>
      <c r="F63" s="3">
        <v>7.3899999999999993E-2</v>
      </c>
      <c r="G63" s="1">
        <v>-1.47E-2</v>
      </c>
    </row>
    <row r="64" spans="2:10" x14ac:dyDescent="0.3">
      <c r="B64" s="2">
        <v>27454</v>
      </c>
      <c r="C64" s="3">
        <v>7.7300000000000008E-2</v>
      </c>
      <c r="D64" s="3">
        <v>7.7300000000000008E-2</v>
      </c>
      <c r="E64" s="3">
        <v>7.7300000000000008E-2</v>
      </c>
      <c r="F64" s="3">
        <v>7.7300000000000008E-2</v>
      </c>
      <c r="G64" s="1">
        <v>4.5999999999999999E-2</v>
      </c>
    </row>
    <row r="65" spans="2:7" x14ac:dyDescent="0.3">
      <c r="B65" s="2">
        <v>27485</v>
      </c>
      <c r="C65" s="3">
        <v>8.2299999999999998E-2</v>
      </c>
      <c r="D65" s="3">
        <v>8.2299999999999998E-2</v>
      </c>
      <c r="E65" s="3">
        <v>8.2299999999999998E-2</v>
      </c>
      <c r="F65" s="3">
        <v>8.2299999999999998E-2</v>
      </c>
      <c r="G65" s="1">
        <v>6.4699999999999994E-2</v>
      </c>
    </row>
    <row r="66" spans="2:7" x14ac:dyDescent="0.3">
      <c r="B66" s="2">
        <v>27515</v>
      </c>
      <c r="C66" s="3">
        <v>8.0600000000000005E-2</v>
      </c>
      <c r="D66" s="3">
        <v>8.0600000000000005E-2</v>
      </c>
      <c r="E66" s="3">
        <v>8.0600000000000005E-2</v>
      </c>
      <c r="F66" s="3">
        <v>8.0600000000000005E-2</v>
      </c>
      <c r="G66" s="1">
        <v>-2.07E-2</v>
      </c>
    </row>
    <row r="67" spans="2:7" x14ac:dyDescent="0.3">
      <c r="B67" s="2">
        <v>27546</v>
      </c>
      <c r="C67" s="3">
        <v>7.8600000000000003E-2</v>
      </c>
      <c r="D67" s="3">
        <v>7.8600000000000003E-2</v>
      </c>
      <c r="E67" s="3">
        <v>7.8600000000000003E-2</v>
      </c>
      <c r="F67" s="3">
        <v>7.8600000000000003E-2</v>
      </c>
      <c r="G67" s="1">
        <v>-2.4799999999999999E-2</v>
      </c>
    </row>
    <row r="68" spans="2:7" x14ac:dyDescent="0.3">
      <c r="B68" s="2">
        <v>27576</v>
      </c>
      <c r="C68" s="3">
        <v>8.0600000000000005E-2</v>
      </c>
      <c r="D68" s="3">
        <v>8.0600000000000005E-2</v>
      </c>
      <c r="E68" s="3">
        <v>8.0600000000000005E-2</v>
      </c>
      <c r="F68" s="3">
        <v>8.0600000000000005E-2</v>
      </c>
      <c r="G68" s="1">
        <v>2.5399999999999999E-2</v>
      </c>
    </row>
    <row r="69" spans="2:7" x14ac:dyDescent="0.3">
      <c r="B69" s="2">
        <v>27607</v>
      </c>
      <c r="C69" s="3">
        <v>8.4000000000000005E-2</v>
      </c>
      <c r="D69" s="3">
        <v>8.4000000000000005E-2</v>
      </c>
      <c r="E69" s="3">
        <v>8.4000000000000005E-2</v>
      </c>
      <c r="F69" s="3">
        <v>8.4000000000000005E-2</v>
      </c>
      <c r="G69" s="1">
        <v>4.2200000000000001E-2</v>
      </c>
    </row>
    <row r="70" spans="2:7" x14ac:dyDescent="0.3">
      <c r="B70" s="2">
        <v>27638</v>
      </c>
      <c r="C70" s="3">
        <v>8.43E-2</v>
      </c>
      <c r="D70" s="3">
        <v>8.43E-2</v>
      </c>
      <c r="E70" s="3">
        <v>8.43E-2</v>
      </c>
      <c r="F70" s="3">
        <v>8.43E-2</v>
      </c>
      <c r="G70" s="1">
        <v>3.5999999999999999E-3</v>
      </c>
    </row>
    <row r="71" spans="2:7" x14ac:dyDescent="0.3">
      <c r="B71" s="2">
        <v>27668</v>
      </c>
      <c r="C71" s="3">
        <v>8.14E-2</v>
      </c>
      <c r="D71" s="3">
        <v>8.14E-2</v>
      </c>
      <c r="E71" s="3">
        <v>8.14E-2</v>
      </c>
      <c r="F71" s="3">
        <v>8.14E-2</v>
      </c>
      <c r="G71" s="1">
        <v>-3.44E-2</v>
      </c>
    </row>
    <row r="72" spans="2:7" x14ac:dyDescent="0.3">
      <c r="B72" s="2">
        <v>27699</v>
      </c>
      <c r="C72" s="3">
        <v>8.0500000000000002E-2</v>
      </c>
      <c r="D72" s="3">
        <v>8.0500000000000002E-2</v>
      </c>
      <c r="E72" s="3">
        <v>8.0500000000000002E-2</v>
      </c>
      <c r="F72" s="3">
        <v>8.0500000000000002E-2</v>
      </c>
      <c r="G72" s="1">
        <v>-1.11E-2</v>
      </c>
    </row>
    <row r="73" spans="2:7" x14ac:dyDescent="0.3">
      <c r="B73" s="2">
        <v>27729</v>
      </c>
      <c r="C73" s="3">
        <v>0.08</v>
      </c>
      <c r="D73" s="3">
        <v>0.08</v>
      </c>
      <c r="E73" s="3">
        <v>0.08</v>
      </c>
      <c r="F73" s="3">
        <v>0.08</v>
      </c>
      <c r="G73" s="1">
        <v>-6.1999999999999998E-3</v>
      </c>
    </row>
    <row r="74" spans="2:7" x14ac:dyDescent="0.3">
      <c r="B74" s="2">
        <v>27760</v>
      </c>
      <c r="C74" s="3">
        <v>7.7399999999999997E-2</v>
      </c>
      <c r="D74" s="3">
        <v>7.7399999999999997E-2</v>
      </c>
      <c r="E74" s="3">
        <v>7.7399999999999997E-2</v>
      </c>
      <c r="F74" s="3">
        <v>7.7399999999999997E-2</v>
      </c>
      <c r="G74" s="1">
        <v>-3.2500000000000001E-2</v>
      </c>
    </row>
    <row r="75" spans="2:7" x14ac:dyDescent="0.3">
      <c r="B75" s="2">
        <v>27791</v>
      </c>
      <c r="C75" s="3">
        <v>7.7899999999999997E-2</v>
      </c>
      <c r="D75" s="3">
        <v>7.7899999999999997E-2</v>
      </c>
      <c r="E75" s="3">
        <v>7.7899999999999997E-2</v>
      </c>
      <c r="F75" s="3">
        <v>7.7899999999999997E-2</v>
      </c>
      <c r="G75" s="1">
        <v>6.4999999999999997E-3</v>
      </c>
    </row>
    <row r="76" spans="2:7" x14ac:dyDescent="0.3">
      <c r="B76" s="2">
        <v>27820</v>
      </c>
      <c r="C76" s="3">
        <v>7.7300000000000008E-2</v>
      </c>
      <c r="D76" s="3">
        <v>7.7300000000000008E-2</v>
      </c>
      <c r="E76" s="3">
        <v>7.7300000000000008E-2</v>
      </c>
      <c r="F76" s="3">
        <v>7.7300000000000008E-2</v>
      </c>
      <c r="G76" s="1">
        <v>-7.7000000000000002E-3</v>
      </c>
    </row>
    <row r="77" spans="2:7" x14ac:dyDescent="0.3">
      <c r="B77" s="2">
        <v>27851</v>
      </c>
      <c r="C77" s="3">
        <v>7.5600000000000001E-2</v>
      </c>
      <c r="D77" s="3">
        <v>7.5600000000000001E-2</v>
      </c>
      <c r="E77" s="3">
        <v>7.5600000000000001E-2</v>
      </c>
      <c r="F77" s="3">
        <v>7.5600000000000001E-2</v>
      </c>
      <c r="G77" s="1">
        <v>-2.1999999999999999E-2</v>
      </c>
    </row>
    <row r="78" spans="2:7" x14ac:dyDescent="0.3">
      <c r="B78" s="2">
        <v>27881</v>
      </c>
      <c r="C78" s="3">
        <v>7.9000000000000001E-2</v>
      </c>
      <c r="D78" s="3">
        <v>7.9000000000000001E-2</v>
      </c>
      <c r="E78" s="3">
        <v>7.9000000000000001E-2</v>
      </c>
      <c r="F78" s="3">
        <v>7.9000000000000001E-2</v>
      </c>
      <c r="G78" s="1">
        <v>4.4999999999999998E-2</v>
      </c>
    </row>
    <row r="79" spans="2:7" x14ac:dyDescent="0.3">
      <c r="B79" s="2">
        <v>27912</v>
      </c>
      <c r="C79" s="3">
        <v>7.8600000000000003E-2</v>
      </c>
      <c r="D79" s="3">
        <v>7.8600000000000003E-2</v>
      </c>
      <c r="E79" s="3">
        <v>7.8600000000000003E-2</v>
      </c>
      <c r="F79" s="3">
        <v>7.8600000000000003E-2</v>
      </c>
      <c r="G79" s="1">
        <v>-5.1000000000000004E-3</v>
      </c>
    </row>
    <row r="80" spans="2:7" x14ac:dyDescent="0.3">
      <c r="B80" s="2">
        <v>27942</v>
      </c>
      <c r="C80" s="3">
        <v>7.8299999999999995E-2</v>
      </c>
      <c r="D80" s="3">
        <v>7.8299999999999995E-2</v>
      </c>
      <c r="E80" s="3">
        <v>7.8299999999999995E-2</v>
      </c>
      <c r="F80" s="3">
        <v>7.8299999999999995E-2</v>
      </c>
      <c r="G80" s="1">
        <v>-3.8E-3</v>
      </c>
    </row>
    <row r="81" spans="2:7" x14ac:dyDescent="0.3">
      <c r="B81" s="2">
        <v>27973</v>
      </c>
      <c r="C81" s="3">
        <v>7.7699999999999991E-2</v>
      </c>
      <c r="D81" s="3">
        <v>7.7699999999999991E-2</v>
      </c>
      <c r="E81" s="3">
        <v>7.7699999999999991E-2</v>
      </c>
      <c r="F81" s="3">
        <v>7.7699999999999991E-2</v>
      </c>
      <c r="G81" s="1">
        <v>-7.7000000000000002E-3</v>
      </c>
    </row>
    <row r="82" spans="2:7" x14ac:dyDescent="0.3">
      <c r="B82" s="2">
        <v>28004</v>
      </c>
      <c r="C82" s="3">
        <v>7.5899999999999995E-2</v>
      </c>
      <c r="D82" s="3">
        <v>7.5899999999999995E-2</v>
      </c>
      <c r="E82" s="3">
        <v>7.5899999999999995E-2</v>
      </c>
      <c r="F82" s="3">
        <v>7.5899999999999995E-2</v>
      </c>
      <c r="G82" s="1">
        <v>-2.3199999999999998E-2</v>
      </c>
    </row>
    <row r="83" spans="2:7" x14ac:dyDescent="0.3">
      <c r="B83" s="2">
        <v>28034</v>
      </c>
      <c r="C83" s="3">
        <v>7.4099999999999999E-2</v>
      </c>
      <c r="D83" s="3">
        <v>7.4099999999999999E-2</v>
      </c>
      <c r="E83" s="3">
        <v>7.4099999999999999E-2</v>
      </c>
      <c r="F83" s="3">
        <v>7.4099999999999999E-2</v>
      </c>
      <c r="G83" s="1">
        <v>-2.3699999999999999E-2</v>
      </c>
    </row>
    <row r="84" spans="2:7" x14ac:dyDescent="0.3">
      <c r="B84" s="2">
        <v>28065</v>
      </c>
      <c r="C84" s="3">
        <v>7.2900000000000006E-2</v>
      </c>
      <c r="D84" s="3">
        <v>7.2900000000000006E-2</v>
      </c>
      <c r="E84" s="3">
        <v>7.2900000000000006E-2</v>
      </c>
      <c r="F84" s="3">
        <v>7.2900000000000006E-2</v>
      </c>
      <c r="G84" s="1">
        <v>-1.6199999999999999E-2</v>
      </c>
    </row>
    <row r="85" spans="2:7" x14ac:dyDescent="0.3">
      <c r="B85" s="2">
        <v>28095</v>
      </c>
      <c r="C85" s="3">
        <v>6.8699999999999997E-2</v>
      </c>
      <c r="D85" s="3">
        <v>6.8699999999999997E-2</v>
      </c>
      <c r="E85" s="3">
        <v>6.8699999999999997E-2</v>
      </c>
      <c r="F85" s="3">
        <v>6.8699999999999997E-2</v>
      </c>
      <c r="G85" s="1">
        <v>-5.7599999999999998E-2</v>
      </c>
    </row>
    <row r="86" spans="2:7" x14ac:dyDescent="0.3">
      <c r="B86" s="2">
        <v>28126</v>
      </c>
      <c r="C86" s="3">
        <v>7.2099999999999997E-2</v>
      </c>
      <c r="D86" s="3">
        <v>7.2099999999999997E-2</v>
      </c>
      <c r="E86" s="3">
        <v>7.2099999999999997E-2</v>
      </c>
      <c r="F86" s="3">
        <v>7.2099999999999997E-2</v>
      </c>
      <c r="G86" s="1">
        <v>4.9500000000000002E-2</v>
      </c>
    </row>
    <row r="87" spans="2:7" x14ac:dyDescent="0.3">
      <c r="B87" s="2">
        <v>28157</v>
      </c>
      <c r="C87" s="3">
        <v>7.3899999999999993E-2</v>
      </c>
      <c r="D87" s="3">
        <v>7.3899999999999993E-2</v>
      </c>
      <c r="E87" s="3">
        <v>7.3899999999999993E-2</v>
      </c>
      <c r="F87" s="3">
        <v>7.3899999999999993E-2</v>
      </c>
      <c r="G87" s="1">
        <v>2.5000000000000001E-2</v>
      </c>
    </row>
    <row r="88" spans="2:7" x14ac:dyDescent="0.3">
      <c r="B88" s="2">
        <v>28185</v>
      </c>
      <c r="C88" s="3">
        <v>7.46E-2</v>
      </c>
      <c r="D88" s="3">
        <v>7.46E-2</v>
      </c>
      <c r="E88" s="3">
        <v>7.46E-2</v>
      </c>
      <c r="F88" s="3">
        <v>7.46E-2</v>
      </c>
      <c r="G88" s="1">
        <v>9.4999999999999998E-3</v>
      </c>
    </row>
    <row r="89" spans="2:7" x14ac:dyDescent="0.3">
      <c r="B89" s="2">
        <v>28216</v>
      </c>
      <c r="C89" s="3">
        <v>7.3700000000000002E-2</v>
      </c>
      <c r="D89" s="3">
        <v>7.3700000000000002E-2</v>
      </c>
      <c r="E89" s="3">
        <v>7.3700000000000002E-2</v>
      </c>
      <c r="F89" s="3">
        <v>7.3700000000000002E-2</v>
      </c>
      <c r="G89" s="1">
        <v>-1.21E-2</v>
      </c>
    </row>
    <row r="90" spans="2:7" x14ac:dyDescent="0.3">
      <c r="B90" s="2">
        <v>28246</v>
      </c>
      <c r="C90" s="3">
        <v>7.46E-2</v>
      </c>
      <c r="D90" s="3">
        <v>7.46E-2</v>
      </c>
      <c r="E90" s="3">
        <v>7.46E-2</v>
      </c>
      <c r="F90" s="3">
        <v>7.46E-2</v>
      </c>
      <c r="G90" s="1">
        <v>1.2200000000000001E-2</v>
      </c>
    </row>
    <row r="91" spans="2:7" x14ac:dyDescent="0.3">
      <c r="B91" s="2">
        <v>28277</v>
      </c>
      <c r="C91" s="3">
        <v>7.2800000000000004E-2</v>
      </c>
      <c r="D91" s="3">
        <v>7.2800000000000004E-2</v>
      </c>
      <c r="E91" s="3">
        <v>7.2800000000000004E-2</v>
      </c>
      <c r="F91" s="3">
        <v>7.2800000000000004E-2</v>
      </c>
      <c r="G91" s="1">
        <v>-2.41E-2</v>
      </c>
    </row>
    <row r="92" spans="2:7" x14ac:dyDescent="0.3">
      <c r="B92" s="2">
        <v>28307</v>
      </c>
      <c r="C92" s="3">
        <v>7.3300000000000004E-2</v>
      </c>
      <c r="D92" s="3">
        <v>7.3300000000000004E-2</v>
      </c>
      <c r="E92" s="3">
        <v>7.3300000000000004E-2</v>
      </c>
      <c r="F92" s="3">
        <v>7.3300000000000004E-2</v>
      </c>
      <c r="G92" s="1">
        <v>6.8999999999999999E-3</v>
      </c>
    </row>
    <row r="93" spans="2:7" x14ac:dyDescent="0.3">
      <c r="B93" s="2">
        <v>28338</v>
      </c>
      <c r="C93" s="3">
        <v>7.400000000000001E-2</v>
      </c>
      <c r="D93" s="3">
        <v>7.400000000000001E-2</v>
      </c>
      <c r="E93" s="3">
        <v>7.400000000000001E-2</v>
      </c>
      <c r="F93" s="3">
        <v>7.400000000000001E-2</v>
      </c>
      <c r="G93" s="1">
        <v>9.4999999999999998E-3</v>
      </c>
    </row>
    <row r="94" spans="2:7" x14ac:dyDescent="0.3">
      <c r="B94" s="2">
        <v>28369</v>
      </c>
      <c r="C94" s="3">
        <v>7.3399999999999993E-2</v>
      </c>
      <c r="D94" s="3">
        <v>7.3399999999999993E-2</v>
      </c>
      <c r="E94" s="3">
        <v>7.3399999999999993E-2</v>
      </c>
      <c r="F94" s="3">
        <v>7.3399999999999993E-2</v>
      </c>
      <c r="G94" s="1">
        <v>-8.0999999999999996E-3</v>
      </c>
    </row>
    <row r="95" spans="2:7" x14ac:dyDescent="0.3">
      <c r="B95" s="2">
        <v>28399</v>
      </c>
      <c r="C95" s="3">
        <v>7.5199999999999989E-2</v>
      </c>
      <c r="D95" s="3">
        <v>7.5199999999999989E-2</v>
      </c>
      <c r="E95" s="3">
        <v>7.5199999999999989E-2</v>
      </c>
      <c r="F95" s="3">
        <v>7.5199999999999989E-2</v>
      </c>
      <c r="G95" s="1">
        <v>2.4500000000000001E-2</v>
      </c>
    </row>
    <row r="96" spans="2:7" x14ac:dyDescent="0.3">
      <c r="B96" s="2">
        <v>28430</v>
      </c>
      <c r="C96" s="3">
        <v>7.5800000000000006E-2</v>
      </c>
      <c r="D96" s="3">
        <v>7.5800000000000006E-2</v>
      </c>
      <c r="E96" s="3">
        <v>7.5800000000000006E-2</v>
      </c>
      <c r="F96" s="3">
        <v>7.5800000000000006E-2</v>
      </c>
      <c r="G96" s="1">
        <v>8.0000000000000002E-3</v>
      </c>
    </row>
    <row r="97" spans="2:7" x14ac:dyDescent="0.3">
      <c r="B97" s="2">
        <v>28460</v>
      </c>
      <c r="C97" s="3">
        <v>7.690000000000001E-2</v>
      </c>
      <c r="D97" s="3">
        <v>7.690000000000001E-2</v>
      </c>
      <c r="E97" s="3">
        <v>7.690000000000001E-2</v>
      </c>
      <c r="F97" s="3">
        <v>7.690000000000001E-2</v>
      </c>
      <c r="G97" s="1">
        <v>1.4500000000000001E-2</v>
      </c>
    </row>
    <row r="98" spans="2:7" x14ac:dyDescent="0.3">
      <c r="B98" s="2">
        <v>28491</v>
      </c>
      <c r="C98" s="3">
        <v>7.9600000000000004E-2</v>
      </c>
      <c r="D98" s="3">
        <v>7.9600000000000004E-2</v>
      </c>
      <c r="E98" s="3">
        <v>7.9600000000000004E-2</v>
      </c>
      <c r="F98" s="3">
        <v>7.9600000000000004E-2</v>
      </c>
      <c r="G98" s="1">
        <v>3.5099999999999999E-2</v>
      </c>
    </row>
    <row r="99" spans="2:7" x14ac:dyDescent="0.3">
      <c r="B99" s="2">
        <v>28522</v>
      </c>
      <c r="C99" s="3">
        <v>8.0299999999999996E-2</v>
      </c>
      <c r="D99" s="3">
        <v>8.0299999999999996E-2</v>
      </c>
      <c r="E99" s="3">
        <v>8.0299999999999996E-2</v>
      </c>
      <c r="F99" s="3">
        <v>8.0299999999999996E-2</v>
      </c>
      <c r="G99" s="1">
        <v>8.8000000000000005E-3</v>
      </c>
    </row>
    <row r="100" spans="2:7" x14ac:dyDescent="0.3">
      <c r="B100" s="2">
        <v>28550</v>
      </c>
      <c r="C100" s="3">
        <v>8.0399999999999985E-2</v>
      </c>
      <c r="D100" s="3">
        <v>8.0399999999999985E-2</v>
      </c>
      <c r="E100" s="3">
        <v>8.0399999999999985E-2</v>
      </c>
      <c r="F100" s="3">
        <v>8.0399999999999985E-2</v>
      </c>
      <c r="G100" s="1">
        <v>1.1999999999999999E-3</v>
      </c>
    </row>
    <row r="101" spans="2:7" x14ac:dyDescent="0.3">
      <c r="B101" s="2">
        <v>28581</v>
      </c>
      <c r="C101" s="3">
        <v>8.1500000000000003E-2</v>
      </c>
      <c r="D101" s="3">
        <v>8.1500000000000003E-2</v>
      </c>
      <c r="E101" s="3">
        <v>8.1500000000000003E-2</v>
      </c>
      <c r="F101" s="3">
        <v>8.1500000000000003E-2</v>
      </c>
      <c r="G101" s="1">
        <v>1.37E-2</v>
      </c>
    </row>
    <row r="102" spans="2:7" x14ac:dyDescent="0.3">
      <c r="B102" s="2">
        <v>28611</v>
      </c>
      <c r="C102" s="3">
        <v>8.3499999999999991E-2</v>
      </c>
      <c r="D102" s="3">
        <v>8.3499999999999991E-2</v>
      </c>
      <c r="E102" s="3">
        <v>8.3499999999999991E-2</v>
      </c>
      <c r="F102" s="3">
        <v>8.3499999999999991E-2</v>
      </c>
      <c r="G102" s="1">
        <v>2.4500000000000001E-2</v>
      </c>
    </row>
    <row r="103" spans="2:7" x14ac:dyDescent="0.3">
      <c r="B103" s="2">
        <v>28642</v>
      </c>
      <c r="C103" s="3">
        <v>8.4600000000000009E-2</v>
      </c>
      <c r="D103" s="3">
        <v>8.4600000000000009E-2</v>
      </c>
      <c r="E103" s="3">
        <v>8.4600000000000009E-2</v>
      </c>
      <c r="F103" s="3">
        <v>8.4600000000000009E-2</v>
      </c>
      <c r="G103" s="1">
        <v>1.32E-2</v>
      </c>
    </row>
    <row r="104" spans="2:7" x14ac:dyDescent="0.3">
      <c r="B104" s="2">
        <v>28672</v>
      </c>
      <c r="C104" s="3">
        <v>8.6400000000000005E-2</v>
      </c>
      <c r="D104" s="3">
        <v>8.6400000000000005E-2</v>
      </c>
      <c r="E104" s="3">
        <v>8.6400000000000005E-2</v>
      </c>
      <c r="F104" s="3">
        <v>8.6400000000000005E-2</v>
      </c>
      <c r="G104" s="1">
        <v>2.1299999999999999E-2</v>
      </c>
    </row>
    <row r="105" spans="2:7" x14ac:dyDescent="0.3">
      <c r="B105" s="2">
        <v>28703</v>
      </c>
      <c r="C105" s="3">
        <v>8.4100000000000008E-2</v>
      </c>
      <c r="D105" s="3">
        <v>8.4100000000000008E-2</v>
      </c>
      <c r="E105" s="3">
        <v>8.4100000000000008E-2</v>
      </c>
      <c r="F105" s="3">
        <v>8.4100000000000008E-2</v>
      </c>
      <c r="G105" s="1">
        <v>-2.6599999999999999E-2</v>
      </c>
    </row>
    <row r="106" spans="2:7" x14ac:dyDescent="0.3">
      <c r="B106" s="2">
        <v>28734</v>
      </c>
      <c r="C106" s="3">
        <v>8.4199999999999997E-2</v>
      </c>
      <c r="D106" s="3">
        <v>8.4199999999999997E-2</v>
      </c>
      <c r="E106" s="3">
        <v>8.4199999999999997E-2</v>
      </c>
      <c r="F106" s="3">
        <v>8.4199999999999997E-2</v>
      </c>
      <c r="G106" s="1">
        <v>1.1999999999999999E-3</v>
      </c>
    </row>
    <row r="107" spans="2:7" x14ac:dyDescent="0.3">
      <c r="B107" s="2">
        <v>28764</v>
      </c>
      <c r="C107" s="3">
        <v>8.6400000000000005E-2</v>
      </c>
      <c r="D107" s="3">
        <v>8.6400000000000005E-2</v>
      </c>
      <c r="E107" s="3">
        <v>8.6400000000000005E-2</v>
      </c>
      <c r="F107" s="3">
        <v>8.6400000000000005E-2</v>
      </c>
      <c r="G107" s="1">
        <v>2.6100000000000002E-2</v>
      </c>
    </row>
    <row r="108" spans="2:7" x14ac:dyDescent="0.3">
      <c r="B108" s="2">
        <v>28795</v>
      </c>
      <c r="C108" s="3">
        <v>8.8100000000000012E-2</v>
      </c>
      <c r="D108" s="3">
        <v>8.8100000000000012E-2</v>
      </c>
      <c r="E108" s="3">
        <v>8.8100000000000012E-2</v>
      </c>
      <c r="F108" s="3">
        <v>8.8100000000000012E-2</v>
      </c>
      <c r="G108" s="1">
        <v>1.9699999999999999E-2</v>
      </c>
    </row>
    <row r="109" spans="2:7" x14ac:dyDescent="0.3">
      <c r="B109" s="2">
        <v>28825</v>
      </c>
      <c r="C109" s="3">
        <v>9.01E-2</v>
      </c>
      <c r="D109" s="3">
        <v>9.01E-2</v>
      </c>
      <c r="E109" s="3">
        <v>9.01E-2</v>
      </c>
      <c r="F109" s="3">
        <v>9.01E-2</v>
      </c>
      <c r="G109" s="1">
        <v>2.2700000000000001E-2</v>
      </c>
    </row>
    <row r="110" spans="2:7" x14ac:dyDescent="0.3">
      <c r="B110" s="2">
        <v>28856</v>
      </c>
      <c r="C110" s="3">
        <v>9.0999999999999998E-2</v>
      </c>
      <c r="D110" s="3">
        <v>9.0999999999999998E-2</v>
      </c>
      <c r="E110" s="3">
        <v>9.0999999999999998E-2</v>
      </c>
      <c r="F110" s="3">
        <v>9.0999999999999998E-2</v>
      </c>
      <c r="G110" s="1">
        <v>0.01</v>
      </c>
    </row>
    <row r="111" spans="2:7" x14ac:dyDescent="0.3">
      <c r="B111" s="2">
        <v>28887</v>
      </c>
      <c r="C111" s="3">
        <v>9.0999999999999998E-2</v>
      </c>
      <c r="D111" s="3">
        <v>9.0999999999999998E-2</v>
      </c>
      <c r="E111" s="3">
        <v>9.0999999999999998E-2</v>
      </c>
      <c r="F111" s="3">
        <v>9.0999999999999998E-2</v>
      </c>
      <c r="G111" s="1">
        <v>0</v>
      </c>
    </row>
    <row r="112" spans="2:7" x14ac:dyDescent="0.3">
      <c r="B112" s="2">
        <v>28915</v>
      </c>
      <c r="C112" s="3">
        <v>9.1199999999999989E-2</v>
      </c>
      <c r="D112" s="3">
        <v>9.1199999999999989E-2</v>
      </c>
      <c r="E112" s="3">
        <v>9.1199999999999989E-2</v>
      </c>
      <c r="F112" s="3">
        <v>9.1199999999999989E-2</v>
      </c>
      <c r="G112" s="1">
        <v>2.2000000000000001E-3</v>
      </c>
    </row>
    <row r="113" spans="2:7" x14ac:dyDescent="0.3">
      <c r="B113" s="2">
        <v>28946</v>
      </c>
      <c r="C113" s="3">
        <v>9.1799999999999993E-2</v>
      </c>
      <c r="D113" s="3">
        <v>9.1799999999999993E-2</v>
      </c>
      <c r="E113" s="3">
        <v>9.1799999999999993E-2</v>
      </c>
      <c r="F113" s="3">
        <v>9.1799999999999993E-2</v>
      </c>
      <c r="G113" s="1">
        <v>6.6E-3</v>
      </c>
    </row>
    <row r="114" spans="2:7" x14ac:dyDescent="0.3">
      <c r="B114" s="2">
        <v>28976</v>
      </c>
      <c r="C114" s="3">
        <v>9.2499999999999999E-2</v>
      </c>
      <c r="D114" s="3">
        <v>9.2499999999999999E-2</v>
      </c>
      <c r="E114" s="3">
        <v>9.2499999999999999E-2</v>
      </c>
      <c r="F114" s="3">
        <v>9.2499999999999999E-2</v>
      </c>
      <c r="G114" s="1">
        <v>7.6E-3</v>
      </c>
    </row>
    <row r="115" spans="2:7" x14ac:dyDescent="0.3">
      <c r="B115" s="2">
        <v>29007</v>
      </c>
      <c r="C115" s="3">
        <v>8.9099999999999999E-2</v>
      </c>
      <c r="D115" s="3">
        <v>8.9099999999999999E-2</v>
      </c>
      <c r="E115" s="3">
        <v>8.9099999999999999E-2</v>
      </c>
      <c r="F115" s="3">
        <v>8.9099999999999999E-2</v>
      </c>
      <c r="G115" s="1">
        <v>-3.6799999999999999E-2</v>
      </c>
    </row>
    <row r="116" spans="2:7" x14ac:dyDescent="0.3">
      <c r="B116" s="2">
        <v>29037</v>
      </c>
      <c r="C116" s="3">
        <v>8.9499999999999996E-2</v>
      </c>
      <c r="D116" s="3">
        <v>8.9499999999999996E-2</v>
      </c>
      <c r="E116" s="3">
        <v>8.9499999999999996E-2</v>
      </c>
      <c r="F116" s="3">
        <v>8.9499999999999996E-2</v>
      </c>
      <c r="G116" s="1">
        <v>4.4999999999999997E-3</v>
      </c>
    </row>
    <row r="117" spans="2:7" x14ac:dyDescent="0.3">
      <c r="B117" s="2">
        <v>29068</v>
      </c>
      <c r="C117" s="3">
        <v>9.0299999999999991E-2</v>
      </c>
      <c r="D117" s="3">
        <v>9.0299999999999991E-2</v>
      </c>
      <c r="E117" s="3">
        <v>9.0299999999999991E-2</v>
      </c>
      <c r="F117" s="3">
        <v>9.0299999999999991E-2</v>
      </c>
      <c r="G117" s="1">
        <v>8.8999999999999999E-3</v>
      </c>
    </row>
    <row r="118" spans="2:7" x14ac:dyDescent="0.3">
      <c r="B118" s="2">
        <v>29099</v>
      </c>
      <c r="C118" s="3">
        <v>9.3299999999999994E-2</v>
      </c>
      <c r="D118" s="3">
        <v>9.3299999999999994E-2</v>
      </c>
      <c r="E118" s="3">
        <v>9.3299999999999994E-2</v>
      </c>
      <c r="F118" s="3">
        <v>9.3299999999999994E-2</v>
      </c>
      <c r="G118" s="1">
        <v>3.32E-2</v>
      </c>
    </row>
    <row r="119" spans="2:7" x14ac:dyDescent="0.3">
      <c r="B119" s="2">
        <v>29129</v>
      </c>
      <c r="C119" s="3">
        <v>0.10300000000000001</v>
      </c>
      <c r="D119" s="3">
        <v>0.10300000000000001</v>
      </c>
      <c r="E119" s="3">
        <v>0.10300000000000001</v>
      </c>
      <c r="F119" s="3">
        <v>0.10300000000000001</v>
      </c>
      <c r="G119" s="1">
        <v>0.104</v>
      </c>
    </row>
    <row r="120" spans="2:7" x14ac:dyDescent="0.3">
      <c r="B120" s="2">
        <v>29160</v>
      </c>
      <c r="C120" s="3">
        <v>0.1065</v>
      </c>
      <c r="D120" s="3">
        <v>0.1065</v>
      </c>
      <c r="E120" s="3">
        <v>0.1065</v>
      </c>
      <c r="F120" s="3">
        <v>0.1065</v>
      </c>
      <c r="G120" s="1">
        <v>3.4000000000000002E-2</v>
      </c>
    </row>
    <row r="121" spans="2:7" x14ac:dyDescent="0.3">
      <c r="B121" s="2">
        <v>29190</v>
      </c>
      <c r="C121" s="3">
        <v>0.10390000000000001</v>
      </c>
      <c r="D121" s="3">
        <v>0.10390000000000001</v>
      </c>
      <c r="E121" s="3">
        <v>0.10390000000000001</v>
      </c>
      <c r="F121" s="3">
        <v>0.10390000000000001</v>
      </c>
      <c r="G121" s="1">
        <v>-2.4400000000000002E-2</v>
      </c>
    </row>
    <row r="122" spans="2:7" x14ac:dyDescent="0.3">
      <c r="B122" s="2">
        <v>29221</v>
      </c>
      <c r="C122" s="3">
        <v>0.11109999999999999</v>
      </c>
      <c r="D122" s="3">
        <v>0.11109999999999999</v>
      </c>
      <c r="E122" s="3">
        <v>0.11109999999999999</v>
      </c>
      <c r="F122" s="3">
        <v>0.11109999999999999</v>
      </c>
      <c r="G122" s="1">
        <v>6.93E-2</v>
      </c>
    </row>
    <row r="123" spans="2:7" x14ac:dyDescent="0.3">
      <c r="B123" s="2">
        <v>29252</v>
      </c>
      <c r="C123" s="3">
        <v>0.12698999999999999</v>
      </c>
      <c r="D123" s="3">
        <v>0.12698999999999999</v>
      </c>
      <c r="E123" s="3">
        <v>0.12698999999999999</v>
      </c>
      <c r="F123" s="3">
        <v>0.12698999999999999</v>
      </c>
      <c r="G123" s="1">
        <v>0.14299999999999999</v>
      </c>
    </row>
    <row r="124" spans="2:7" x14ac:dyDescent="0.3">
      <c r="B124" s="2">
        <v>29281</v>
      </c>
      <c r="C124" s="3">
        <v>0.12603999999999999</v>
      </c>
      <c r="D124" s="3">
        <v>0.12603999999999999</v>
      </c>
      <c r="E124" s="3">
        <v>0.12603999999999999</v>
      </c>
      <c r="F124" s="3">
        <v>0.12603999999999999</v>
      </c>
      <c r="G124" s="1">
        <v>-7.4999999999999997E-3</v>
      </c>
    </row>
    <row r="125" spans="2:7" x14ac:dyDescent="0.3">
      <c r="B125" s="2">
        <v>29312</v>
      </c>
      <c r="C125" s="3">
        <v>0.10718999999999999</v>
      </c>
      <c r="D125" s="3">
        <v>0.10718999999999999</v>
      </c>
      <c r="E125" s="3">
        <v>0.10718999999999999</v>
      </c>
      <c r="F125" s="3">
        <v>0.10718999999999999</v>
      </c>
      <c r="G125" s="1">
        <v>-0.14960000000000001</v>
      </c>
    </row>
    <row r="126" spans="2:7" x14ac:dyDescent="0.3">
      <c r="B126" s="2">
        <v>29342</v>
      </c>
      <c r="C126" s="3">
        <v>0.10208</v>
      </c>
      <c r="D126" s="3">
        <v>0.10208</v>
      </c>
      <c r="E126" s="3">
        <v>0.10208</v>
      </c>
      <c r="F126" s="3">
        <v>0.10208</v>
      </c>
      <c r="G126" s="1">
        <v>-4.7699999999999999E-2</v>
      </c>
    </row>
    <row r="127" spans="2:7" x14ac:dyDescent="0.3">
      <c r="B127" s="2">
        <v>29373</v>
      </c>
      <c r="C127" s="3">
        <v>9.4329999999999997E-2</v>
      </c>
      <c r="D127" s="3">
        <v>9.4329999999999997E-2</v>
      </c>
      <c r="E127" s="3">
        <v>9.4329999999999997E-2</v>
      </c>
      <c r="F127" s="3">
        <v>9.4329999999999997E-2</v>
      </c>
      <c r="G127" s="1">
        <v>-7.5899999999999995E-2</v>
      </c>
    </row>
    <row r="128" spans="2:7" x14ac:dyDescent="0.3">
      <c r="B128" s="2">
        <v>29403</v>
      </c>
      <c r="C128" s="3">
        <v>0.10249999999999999</v>
      </c>
      <c r="D128" s="3">
        <v>0.10249999999999999</v>
      </c>
      <c r="E128" s="3">
        <v>0.10249999999999999</v>
      </c>
      <c r="F128" s="3">
        <v>0.10249999999999999</v>
      </c>
      <c r="G128" s="1">
        <v>8.6599999999999996E-2</v>
      </c>
    </row>
    <row r="129" spans="2:7" x14ac:dyDescent="0.3">
      <c r="B129" s="2">
        <v>29434</v>
      </c>
      <c r="C129" s="3">
        <v>0.10837999999999999</v>
      </c>
      <c r="D129" s="3">
        <v>0.10837999999999999</v>
      </c>
      <c r="E129" s="3">
        <v>0.10837999999999999</v>
      </c>
      <c r="F129" s="3">
        <v>0.10837999999999999</v>
      </c>
      <c r="G129" s="1">
        <v>5.74E-2</v>
      </c>
    </row>
    <row r="130" spans="2:7" x14ac:dyDescent="0.3">
      <c r="B130" s="2">
        <v>29465</v>
      </c>
      <c r="C130" s="3">
        <v>0.11836000000000001</v>
      </c>
      <c r="D130" s="3">
        <v>0.11836000000000001</v>
      </c>
      <c r="E130" s="3">
        <v>0.11836000000000001</v>
      </c>
      <c r="F130" s="3">
        <v>0.11836000000000001</v>
      </c>
      <c r="G130" s="1">
        <v>9.2100000000000001E-2</v>
      </c>
    </row>
    <row r="131" spans="2:7" x14ac:dyDescent="0.3">
      <c r="B131" s="2">
        <v>29495</v>
      </c>
      <c r="C131" s="3">
        <v>0.12429</v>
      </c>
      <c r="D131" s="3">
        <v>0.12429</v>
      </c>
      <c r="E131" s="3">
        <v>0.12429</v>
      </c>
      <c r="F131" s="3">
        <v>0.12429</v>
      </c>
      <c r="G131" s="1">
        <v>5.0099999999999999E-2</v>
      </c>
    </row>
    <row r="132" spans="2:7" x14ac:dyDescent="0.3">
      <c r="B132" s="2">
        <v>29526</v>
      </c>
      <c r="C132" s="3">
        <v>0.12426</v>
      </c>
      <c r="D132" s="3">
        <v>0.12426</v>
      </c>
      <c r="E132" s="3">
        <v>0.12426</v>
      </c>
      <c r="F132" s="3">
        <v>0.12426</v>
      </c>
      <c r="G132" s="1">
        <v>-2.0000000000000001E-4</v>
      </c>
    </row>
    <row r="133" spans="2:7" x14ac:dyDescent="0.3">
      <c r="B133" s="2">
        <v>29556</v>
      </c>
      <c r="C133" s="3">
        <v>0.12411</v>
      </c>
      <c r="D133" s="3">
        <v>0.12411</v>
      </c>
      <c r="E133" s="3">
        <v>0.12411</v>
      </c>
      <c r="F133" s="3">
        <v>0.12411</v>
      </c>
      <c r="G133" s="1">
        <v>-1.1999999999999999E-3</v>
      </c>
    </row>
    <row r="134" spans="2:7" x14ac:dyDescent="0.3">
      <c r="B134" s="2">
        <v>29587</v>
      </c>
      <c r="C134" s="3">
        <v>0.12670000000000001</v>
      </c>
      <c r="D134" s="3">
        <v>0.12670000000000001</v>
      </c>
      <c r="E134" s="3">
        <v>0.12670000000000001</v>
      </c>
      <c r="F134" s="3">
        <v>0.12670000000000001</v>
      </c>
      <c r="G134" s="1">
        <v>2.0899999999999998E-2</v>
      </c>
    </row>
    <row r="135" spans="2:7" x14ac:dyDescent="0.3">
      <c r="B135" s="2">
        <v>29618</v>
      </c>
      <c r="C135" s="3">
        <v>0.13411000000000001</v>
      </c>
      <c r="D135" s="3">
        <v>0.13411000000000001</v>
      </c>
      <c r="E135" s="3">
        <v>0.13411000000000001</v>
      </c>
      <c r="F135" s="3">
        <v>0.13411000000000001</v>
      </c>
      <c r="G135" s="1">
        <v>5.8500000000000003E-2</v>
      </c>
    </row>
    <row r="136" spans="2:7" x14ac:dyDescent="0.3">
      <c r="B136" s="2">
        <v>29646</v>
      </c>
      <c r="C136" s="3">
        <v>0.13101000000000002</v>
      </c>
      <c r="D136" s="3">
        <v>0.13101000000000002</v>
      </c>
      <c r="E136" s="3">
        <v>0.13101000000000002</v>
      </c>
      <c r="F136" s="3">
        <v>0.13101000000000002</v>
      </c>
      <c r="G136" s="1">
        <v>-2.3099999999999999E-2</v>
      </c>
    </row>
    <row r="137" spans="2:7" x14ac:dyDescent="0.3">
      <c r="B137" s="2">
        <v>29677</v>
      </c>
      <c r="C137" s="3">
        <v>0.14088000000000001</v>
      </c>
      <c r="D137" s="3">
        <v>0.14088000000000001</v>
      </c>
      <c r="E137" s="3">
        <v>0.14088000000000001</v>
      </c>
      <c r="F137" s="3">
        <v>0.14088000000000001</v>
      </c>
      <c r="G137" s="1">
        <v>7.5300000000000006E-2</v>
      </c>
    </row>
    <row r="138" spans="2:7" x14ac:dyDescent="0.3">
      <c r="B138" s="2">
        <v>29707</v>
      </c>
      <c r="C138" s="3">
        <v>0.13402</v>
      </c>
      <c r="D138" s="3">
        <v>0.13402</v>
      </c>
      <c r="E138" s="3">
        <v>0.13402</v>
      </c>
      <c r="F138" s="3">
        <v>0.13402</v>
      </c>
      <c r="G138" s="1">
        <v>-4.87E-2</v>
      </c>
    </row>
    <row r="139" spans="2:7" x14ac:dyDescent="0.3">
      <c r="B139" s="2">
        <v>29738</v>
      </c>
      <c r="C139" s="3">
        <v>0.13849999999999998</v>
      </c>
      <c r="D139" s="3">
        <v>0.13849999999999998</v>
      </c>
      <c r="E139" s="3">
        <v>0.13849999999999998</v>
      </c>
      <c r="F139" s="3">
        <v>0.13849999999999998</v>
      </c>
      <c r="G139" s="1">
        <v>3.3399999999999999E-2</v>
      </c>
    </row>
    <row r="140" spans="2:7" x14ac:dyDescent="0.3">
      <c r="B140" s="2">
        <v>29768</v>
      </c>
      <c r="C140" s="3">
        <v>0.14651</v>
      </c>
      <c r="D140" s="3">
        <v>0.14651</v>
      </c>
      <c r="E140" s="3">
        <v>0.14651</v>
      </c>
      <c r="F140" s="3">
        <v>0.14651</v>
      </c>
      <c r="G140" s="1">
        <v>5.7799999999999997E-2</v>
      </c>
    </row>
    <row r="141" spans="2:7" x14ac:dyDescent="0.3">
      <c r="B141" s="2">
        <v>29799</v>
      </c>
      <c r="C141" s="3">
        <v>0.1537</v>
      </c>
      <c r="D141" s="3">
        <v>0.1537</v>
      </c>
      <c r="E141" s="3">
        <v>0.1537</v>
      </c>
      <c r="F141" s="3">
        <v>0.1537</v>
      </c>
      <c r="G141" s="1">
        <v>4.9099999999999998E-2</v>
      </c>
    </row>
    <row r="142" spans="2:7" x14ac:dyDescent="0.3">
      <c r="B142" s="2">
        <v>29830</v>
      </c>
      <c r="C142" s="3">
        <v>0.15820000000000001</v>
      </c>
      <c r="D142" s="3">
        <v>0.15820000000000001</v>
      </c>
      <c r="E142" s="3">
        <v>0.15820000000000001</v>
      </c>
      <c r="F142" s="3">
        <v>0.15820000000000001</v>
      </c>
      <c r="G142" s="1">
        <v>2.93E-2</v>
      </c>
    </row>
    <row r="143" spans="2:7" x14ac:dyDescent="0.3">
      <c r="B143" s="2">
        <v>29860</v>
      </c>
      <c r="C143" s="3">
        <v>0.14611000000000002</v>
      </c>
      <c r="D143" s="3">
        <v>0.14611000000000002</v>
      </c>
      <c r="E143" s="3">
        <v>0.14611000000000002</v>
      </c>
      <c r="F143" s="3">
        <v>0.14611000000000002</v>
      </c>
      <c r="G143" s="1">
        <v>-7.6399999999999996E-2</v>
      </c>
    </row>
    <row r="144" spans="2:7" x14ac:dyDescent="0.3">
      <c r="B144" s="2">
        <v>29891</v>
      </c>
      <c r="C144" s="3">
        <v>0.13220999999999999</v>
      </c>
      <c r="D144" s="3">
        <v>0.13220999999999999</v>
      </c>
      <c r="E144" s="3">
        <v>0.13220999999999999</v>
      </c>
      <c r="F144" s="3">
        <v>0.13220999999999999</v>
      </c>
      <c r="G144" s="1">
        <v>-9.5100000000000004E-2</v>
      </c>
    </row>
    <row r="145" spans="2:7" x14ac:dyDescent="0.3">
      <c r="B145" s="2">
        <v>29921</v>
      </c>
      <c r="C145" s="3">
        <v>0.1396</v>
      </c>
      <c r="D145" s="3">
        <v>0.1396</v>
      </c>
      <c r="E145" s="3">
        <v>0.1396</v>
      </c>
      <c r="F145" s="3">
        <v>0.1396</v>
      </c>
      <c r="G145" s="1">
        <v>5.5899999999999998E-2</v>
      </c>
    </row>
    <row r="146" spans="2:7" x14ac:dyDescent="0.3">
      <c r="B146" s="2">
        <v>29952</v>
      </c>
      <c r="C146" s="3">
        <v>0.14114000000000002</v>
      </c>
      <c r="D146" s="3">
        <v>0.14114000000000002</v>
      </c>
      <c r="E146" s="3">
        <v>0.14114000000000002</v>
      </c>
      <c r="F146" s="3">
        <v>0.14114000000000002</v>
      </c>
      <c r="G146" s="1">
        <v>1.0999999999999999E-2</v>
      </c>
    </row>
    <row r="147" spans="2:7" x14ac:dyDescent="0.3">
      <c r="B147" s="2">
        <v>29983</v>
      </c>
      <c r="C147" s="3">
        <v>0.13946</v>
      </c>
      <c r="D147" s="3">
        <v>0.13946</v>
      </c>
      <c r="E147" s="3">
        <v>0.13946</v>
      </c>
      <c r="F147" s="3">
        <v>0.13946</v>
      </c>
      <c r="G147" s="1">
        <v>-1.1900000000000001E-2</v>
      </c>
    </row>
    <row r="148" spans="2:7" x14ac:dyDescent="0.3">
      <c r="B148" s="2">
        <v>30011</v>
      </c>
      <c r="C148" s="3">
        <v>0.14147999999999999</v>
      </c>
      <c r="D148" s="3">
        <v>0.14147999999999999</v>
      </c>
      <c r="E148" s="3">
        <v>0.14147999999999999</v>
      </c>
      <c r="F148" s="3">
        <v>0.14147999999999999</v>
      </c>
      <c r="G148" s="1">
        <v>1.4500000000000001E-2</v>
      </c>
    </row>
    <row r="149" spans="2:7" x14ac:dyDescent="0.3">
      <c r="B149" s="2">
        <v>30042</v>
      </c>
      <c r="C149" s="3">
        <v>0.13844000000000001</v>
      </c>
      <c r="D149" s="3">
        <v>0.13844000000000001</v>
      </c>
      <c r="E149" s="3">
        <v>0.13844000000000001</v>
      </c>
      <c r="F149" s="3">
        <v>0.13844000000000001</v>
      </c>
      <c r="G149" s="1">
        <v>-2.1499999999999998E-2</v>
      </c>
    </row>
    <row r="150" spans="2:7" x14ac:dyDescent="0.3">
      <c r="B150" s="2">
        <v>30072</v>
      </c>
      <c r="C150" s="3">
        <v>0.13775999999999999</v>
      </c>
      <c r="D150" s="3">
        <v>0.13775999999999999</v>
      </c>
      <c r="E150" s="3">
        <v>0.13775999999999999</v>
      </c>
      <c r="F150" s="3">
        <v>0.13775999999999999</v>
      </c>
      <c r="G150" s="1">
        <v>-4.8999999999999998E-3</v>
      </c>
    </row>
    <row r="151" spans="2:7" x14ac:dyDescent="0.3">
      <c r="B151" s="2">
        <v>30103</v>
      </c>
      <c r="C151" s="3">
        <v>0.14407</v>
      </c>
      <c r="D151" s="3">
        <v>0.14407</v>
      </c>
      <c r="E151" s="3">
        <v>0.14407</v>
      </c>
      <c r="F151" s="3">
        <v>0.14407</v>
      </c>
      <c r="G151" s="1">
        <v>4.58E-2</v>
      </c>
    </row>
    <row r="152" spans="2:7" x14ac:dyDescent="0.3">
      <c r="B152" s="2">
        <v>30133</v>
      </c>
      <c r="C152" s="3">
        <v>0.13661000000000001</v>
      </c>
      <c r="D152" s="3">
        <v>0.13661000000000001</v>
      </c>
      <c r="E152" s="3">
        <v>0.13661000000000001</v>
      </c>
      <c r="F152" s="3">
        <v>0.13661000000000001</v>
      </c>
      <c r="G152" s="1">
        <v>-5.1799999999999999E-2</v>
      </c>
    </row>
    <row r="153" spans="2:7" x14ac:dyDescent="0.3">
      <c r="B153" s="2">
        <v>30164</v>
      </c>
      <c r="C153" s="3">
        <v>0.12792000000000001</v>
      </c>
      <c r="D153" s="3">
        <v>0.12792000000000001</v>
      </c>
      <c r="E153" s="3">
        <v>0.12792000000000001</v>
      </c>
      <c r="F153" s="3">
        <v>0.12792000000000001</v>
      </c>
      <c r="G153" s="1">
        <v>-6.3600000000000004E-2</v>
      </c>
    </row>
    <row r="154" spans="2:7" x14ac:dyDescent="0.3">
      <c r="B154" s="2">
        <v>30195</v>
      </c>
      <c r="C154" s="3">
        <v>0.11993000000000001</v>
      </c>
      <c r="D154" s="3">
        <v>0.11993000000000001</v>
      </c>
      <c r="E154" s="3">
        <v>0.11993000000000001</v>
      </c>
      <c r="F154" s="3">
        <v>0.11993000000000001</v>
      </c>
      <c r="G154" s="1">
        <v>-6.25E-2</v>
      </c>
    </row>
    <row r="155" spans="2:7" x14ac:dyDescent="0.3">
      <c r="B155" s="2">
        <v>30225</v>
      </c>
      <c r="C155" s="3">
        <v>0.11122</v>
      </c>
      <c r="D155" s="3">
        <v>0.11122</v>
      </c>
      <c r="E155" s="3">
        <v>0.11122</v>
      </c>
      <c r="F155" s="3">
        <v>0.11122</v>
      </c>
      <c r="G155" s="1">
        <v>-7.2599999999999998E-2</v>
      </c>
    </row>
    <row r="156" spans="2:7" x14ac:dyDescent="0.3">
      <c r="B156" s="2">
        <v>30256</v>
      </c>
      <c r="C156" s="3">
        <v>0.11257</v>
      </c>
      <c r="D156" s="3">
        <v>0.11257</v>
      </c>
      <c r="E156" s="3">
        <v>0.11257</v>
      </c>
      <c r="F156" s="3">
        <v>0.11257</v>
      </c>
      <c r="G156" s="1">
        <v>1.21E-2</v>
      </c>
    </row>
    <row r="157" spans="2:7" x14ac:dyDescent="0.3">
      <c r="B157" s="2">
        <v>30286</v>
      </c>
      <c r="C157" s="3">
        <v>0.10319</v>
      </c>
      <c r="D157" s="3">
        <v>0.10319</v>
      </c>
      <c r="E157" s="3">
        <v>0.10319</v>
      </c>
      <c r="F157" s="3">
        <v>0.10319</v>
      </c>
      <c r="G157" s="1">
        <v>-8.3299999999999999E-2</v>
      </c>
    </row>
    <row r="158" spans="2:7" x14ac:dyDescent="0.3">
      <c r="B158" s="2">
        <v>30317</v>
      </c>
      <c r="C158" s="3">
        <v>0.10773999999999999</v>
      </c>
      <c r="D158" s="3">
        <v>0.10773999999999999</v>
      </c>
      <c r="E158" s="3">
        <v>0.10773999999999999</v>
      </c>
      <c r="F158" s="3">
        <v>0.10773999999999999</v>
      </c>
      <c r="G158" s="1">
        <v>4.41E-2</v>
      </c>
    </row>
    <row r="159" spans="2:7" x14ac:dyDescent="0.3">
      <c r="B159" s="2">
        <v>30348</v>
      </c>
      <c r="C159" s="3">
        <v>0.10217999999999999</v>
      </c>
      <c r="D159" s="3">
        <v>0.10217999999999999</v>
      </c>
      <c r="E159" s="3">
        <v>0.10217999999999999</v>
      </c>
      <c r="F159" s="3">
        <v>0.10217999999999999</v>
      </c>
      <c r="G159" s="1">
        <v>-5.16E-2</v>
      </c>
    </row>
    <row r="160" spans="2:7" x14ac:dyDescent="0.3">
      <c r="B160" s="2">
        <v>30376</v>
      </c>
      <c r="C160" s="3">
        <v>0.10604</v>
      </c>
      <c r="D160" s="3">
        <v>0.10604</v>
      </c>
      <c r="E160" s="3">
        <v>0.10604</v>
      </c>
      <c r="F160" s="3">
        <v>0.10604</v>
      </c>
      <c r="G160" s="1">
        <v>3.78E-2</v>
      </c>
    </row>
    <row r="161" spans="2:7" x14ac:dyDescent="0.3">
      <c r="B161" s="2">
        <v>30407</v>
      </c>
      <c r="C161" s="3">
        <v>0.1024</v>
      </c>
      <c r="D161" s="3">
        <v>0.1024</v>
      </c>
      <c r="E161" s="3">
        <v>0.1024</v>
      </c>
      <c r="F161" s="3">
        <v>0.1024</v>
      </c>
      <c r="G161" s="1">
        <v>-3.4299999999999997E-2</v>
      </c>
    </row>
    <row r="162" spans="2:7" x14ac:dyDescent="0.3">
      <c r="B162" s="2">
        <v>30437</v>
      </c>
      <c r="C162" s="3">
        <v>0.10854</v>
      </c>
      <c r="D162" s="3">
        <v>0.10854</v>
      </c>
      <c r="E162" s="3">
        <v>0.10854</v>
      </c>
      <c r="F162" s="3">
        <v>0.10854</v>
      </c>
      <c r="G162" s="1">
        <v>0.06</v>
      </c>
    </row>
    <row r="163" spans="2:7" x14ac:dyDescent="0.3">
      <c r="B163" s="2">
        <v>30468</v>
      </c>
      <c r="C163" s="3">
        <v>0.10926</v>
      </c>
      <c r="D163" s="3">
        <v>0.10926</v>
      </c>
      <c r="E163" s="3">
        <v>0.10926</v>
      </c>
      <c r="F163" s="3">
        <v>0.10926</v>
      </c>
      <c r="G163" s="1">
        <v>6.6E-3</v>
      </c>
    </row>
    <row r="164" spans="2:7" x14ac:dyDescent="0.3">
      <c r="B164" s="2">
        <v>30498</v>
      </c>
      <c r="C164" s="3">
        <v>0.11736000000000001</v>
      </c>
      <c r="D164" s="3">
        <v>0.11736000000000001</v>
      </c>
      <c r="E164" s="3">
        <v>0.11736000000000001</v>
      </c>
      <c r="F164" s="3">
        <v>0.11736000000000001</v>
      </c>
      <c r="G164" s="1">
        <v>7.4099999999999999E-2</v>
      </c>
    </row>
    <row r="165" spans="2:7" x14ac:dyDescent="0.3">
      <c r="B165" s="2">
        <v>30529</v>
      </c>
      <c r="C165" s="3">
        <v>0.11798</v>
      </c>
      <c r="D165" s="3">
        <v>0.11798</v>
      </c>
      <c r="E165" s="3">
        <v>0.11798</v>
      </c>
      <c r="F165" s="3">
        <v>0.11798</v>
      </c>
      <c r="G165" s="1">
        <v>5.3E-3</v>
      </c>
    </row>
    <row r="166" spans="2:7" x14ac:dyDescent="0.3">
      <c r="B166" s="2">
        <v>30560</v>
      </c>
      <c r="C166" s="3">
        <v>0.11394</v>
      </c>
      <c r="D166" s="3">
        <v>0.11394</v>
      </c>
      <c r="E166" s="3">
        <v>0.11394</v>
      </c>
      <c r="F166" s="3">
        <v>0.11394</v>
      </c>
      <c r="G166" s="1">
        <v>-3.4200000000000001E-2</v>
      </c>
    </row>
    <row r="167" spans="2:7" x14ac:dyDescent="0.3">
      <c r="B167" s="2">
        <v>30590</v>
      </c>
      <c r="C167" s="3">
        <v>0.11707000000000001</v>
      </c>
      <c r="D167" s="3">
        <v>0.11707000000000001</v>
      </c>
      <c r="E167" s="3">
        <v>0.11707000000000001</v>
      </c>
      <c r="F167" s="3">
        <v>0.11707000000000001</v>
      </c>
      <c r="G167" s="1">
        <v>2.75E-2</v>
      </c>
    </row>
    <row r="168" spans="2:7" x14ac:dyDescent="0.3">
      <c r="B168" s="2">
        <v>30621</v>
      </c>
      <c r="C168" s="3">
        <v>0.11611</v>
      </c>
      <c r="D168" s="3">
        <v>0.11611</v>
      </c>
      <c r="E168" s="3">
        <v>0.11611</v>
      </c>
      <c r="F168" s="3">
        <v>0.11611</v>
      </c>
      <c r="G168" s="1">
        <v>-8.2000000000000007E-3</v>
      </c>
    </row>
    <row r="169" spans="2:7" x14ac:dyDescent="0.3">
      <c r="B169" s="2">
        <v>30651</v>
      </c>
      <c r="C169" s="3">
        <v>0.11781000000000001</v>
      </c>
      <c r="D169" s="3">
        <v>0.11781000000000001</v>
      </c>
      <c r="E169" s="3">
        <v>0.11781000000000001</v>
      </c>
      <c r="F169" s="3">
        <v>0.11781000000000001</v>
      </c>
      <c r="G169" s="1">
        <v>1.46E-2</v>
      </c>
    </row>
    <row r="170" spans="2:7" x14ac:dyDescent="0.3">
      <c r="B170" s="2">
        <v>30682</v>
      </c>
      <c r="C170" s="3">
        <v>0.11638</v>
      </c>
      <c r="D170" s="3">
        <v>0.11638</v>
      </c>
      <c r="E170" s="3">
        <v>0.11638</v>
      </c>
      <c r="F170" s="3">
        <v>0.11638</v>
      </c>
      <c r="G170" s="1">
        <v>-1.21E-2</v>
      </c>
    </row>
    <row r="171" spans="2:7" x14ac:dyDescent="0.3">
      <c r="B171" s="2">
        <v>30713</v>
      </c>
      <c r="C171" s="3">
        <v>0.12006</v>
      </c>
      <c r="D171" s="3">
        <v>0.12006</v>
      </c>
      <c r="E171" s="3">
        <v>0.12006</v>
      </c>
      <c r="F171" s="3">
        <v>0.12006</v>
      </c>
      <c r="G171" s="1">
        <v>3.1600000000000003E-2</v>
      </c>
    </row>
    <row r="172" spans="2:7" x14ac:dyDescent="0.3">
      <c r="B172" s="2">
        <v>30742</v>
      </c>
      <c r="C172" s="3">
        <v>0.12502000000000002</v>
      </c>
      <c r="D172" s="3">
        <v>0.12502000000000002</v>
      </c>
      <c r="E172" s="3">
        <v>0.12502000000000002</v>
      </c>
      <c r="F172" s="3">
        <v>0.12502000000000002</v>
      </c>
      <c r="G172" s="1">
        <v>4.1300000000000003E-2</v>
      </c>
    </row>
    <row r="173" spans="2:7" x14ac:dyDescent="0.3">
      <c r="B173" s="2">
        <v>30773</v>
      </c>
      <c r="C173" s="3">
        <v>0.12798999999999999</v>
      </c>
      <c r="D173" s="3">
        <v>0.12798999999999999</v>
      </c>
      <c r="E173" s="3">
        <v>0.12798999999999999</v>
      </c>
      <c r="F173" s="3">
        <v>0.12798999999999999</v>
      </c>
      <c r="G173" s="1">
        <v>2.3800000000000002E-2</v>
      </c>
    </row>
    <row r="174" spans="2:7" x14ac:dyDescent="0.3">
      <c r="B174" s="2">
        <v>30803</v>
      </c>
      <c r="C174" s="3">
        <v>0.13872999999999999</v>
      </c>
      <c r="D174" s="3">
        <v>0.13872999999999999</v>
      </c>
      <c r="E174" s="3">
        <v>0.13872999999999999</v>
      </c>
      <c r="F174" s="3">
        <v>0.13872999999999999</v>
      </c>
      <c r="G174" s="1">
        <v>8.3900000000000002E-2</v>
      </c>
    </row>
    <row r="175" spans="2:7" x14ac:dyDescent="0.3">
      <c r="B175" s="2">
        <v>30834</v>
      </c>
      <c r="C175" s="3">
        <v>0.13827</v>
      </c>
      <c r="D175" s="3">
        <v>0.13827</v>
      </c>
      <c r="E175" s="3">
        <v>0.13827</v>
      </c>
      <c r="F175" s="3">
        <v>0.13827</v>
      </c>
      <c r="G175" s="1">
        <v>-3.3E-3</v>
      </c>
    </row>
    <row r="176" spans="2:7" x14ac:dyDescent="0.3">
      <c r="B176" s="2">
        <v>30864</v>
      </c>
      <c r="C176" s="3">
        <v>0.12897</v>
      </c>
      <c r="D176" s="3">
        <v>0.12897</v>
      </c>
      <c r="E176" s="3">
        <v>0.12897</v>
      </c>
      <c r="F176" s="3">
        <v>0.12897</v>
      </c>
      <c r="G176" s="1">
        <v>-6.7299999999999999E-2</v>
      </c>
    </row>
    <row r="177" spans="2:7" x14ac:dyDescent="0.3">
      <c r="B177" s="2">
        <v>30895</v>
      </c>
      <c r="C177" s="3">
        <v>0.12858</v>
      </c>
      <c r="D177" s="3">
        <v>0.12858</v>
      </c>
      <c r="E177" s="3">
        <v>0.12858</v>
      </c>
      <c r="F177" s="3">
        <v>0.12858</v>
      </c>
      <c r="G177" s="1">
        <v>-3.0000000000000001E-3</v>
      </c>
    </row>
    <row r="178" spans="2:7" x14ac:dyDescent="0.3">
      <c r="B178" s="2">
        <v>30926</v>
      </c>
      <c r="C178" s="3">
        <v>0.12461999999999999</v>
      </c>
      <c r="D178" s="3">
        <v>0.12461999999999999</v>
      </c>
      <c r="E178" s="3">
        <v>0.12461999999999999</v>
      </c>
      <c r="F178" s="3">
        <v>0.12461999999999999</v>
      </c>
      <c r="G178" s="1">
        <v>-3.0800000000000001E-2</v>
      </c>
    </row>
    <row r="179" spans="2:7" x14ac:dyDescent="0.3">
      <c r="B179" s="2">
        <v>30956</v>
      </c>
      <c r="C179" s="3">
        <v>0.11779000000000001</v>
      </c>
      <c r="D179" s="3">
        <v>0.11779000000000001</v>
      </c>
      <c r="E179" s="3">
        <v>0.11779000000000001</v>
      </c>
      <c r="F179" s="3">
        <v>0.11779000000000001</v>
      </c>
      <c r="G179" s="1">
        <v>-5.4800000000000001E-2</v>
      </c>
    </row>
    <row r="180" spans="2:7" x14ac:dyDescent="0.3">
      <c r="B180" s="2">
        <v>30987</v>
      </c>
      <c r="C180" s="3">
        <v>0.11593000000000001</v>
      </c>
      <c r="D180" s="3">
        <v>0.11593000000000001</v>
      </c>
      <c r="E180" s="3">
        <v>0.11593000000000001</v>
      </c>
      <c r="F180" s="3">
        <v>0.11593000000000001</v>
      </c>
      <c r="G180" s="1">
        <v>-1.5800000000000002E-2</v>
      </c>
    </row>
    <row r="181" spans="2:7" x14ac:dyDescent="0.3">
      <c r="B181" s="2">
        <v>31017</v>
      </c>
      <c r="C181" s="3">
        <v>0.11541999999999999</v>
      </c>
      <c r="D181" s="3">
        <v>0.11541999999999999</v>
      </c>
      <c r="E181" s="3">
        <v>0.11541999999999999</v>
      </c>
      <c r="F181" s="3">
        <v>0.11541999999999999</v>
      </c>
      <c r="G181" s="1">
        <v>-4.4000000000000003E-3</v>
      </c>
    </row>
    <row r="182" spans="2:7" x14ac:dyDescent="0.3">
      <c r="B182" s="2">
        <v>31048</v>
      </c>
      <c r="C182" s="3">
        <v>0.11146</v>
      </c>
      <c r="D182" s="3">
        <v>0.11146</v>
      </c>
      <c r="E182" s="3">
        <v>0.11146</v>
      </c>
      <c r="F182" s="3">
        <v>0.11146</v>
      </c>
      <c r="G182" s="1">
        <v>-3.4299999999999997E-2</v>
      </c>
    </row>
    <row r="183" spans="2:7" x14ac:dyDescent="0.3">
      <c r="B183" s="2">
        <v>31079</v>
      </c>
      <c r="C183" s="3">
        <v>0.11927</v>
      </c>
      <c r="D183" s="3">
        <v>0.11927</v>
      </c>
      <c r="E183" s="3">
        <v>0.11927</v>
      </c>
      <c r="F183" s="3">
        <v>0.11927</v>
      </c>
      <c r="G183" s="1">
        <v>7.0099999999999996E-2</v>
      </c>
    </row>
    <row r="184" spans="2:7" x14ac:dyDescent="0.3">
      <c r="B184" s="2">
        <v>31107</v>
      </c>
      <c r="C184" s="3">
        <v>0.11637</v>
      </c>
      <c r="D184" s="3">
        <v>0.11637</v>
      </c>
      <c r="E184" s="3">
        <v>0.11637</v>
      </c>
      <c r="F184" s="3">
        <v>0.11637</v>
      </c>
      <c r="G184" s="1">
        <v>-2.4299999999999999E-2</v>
      </c>
    </row>
    <row r="185" spans="2:7" x14ac:dyDescent="0.3">
      <c r="B185" s="2">
        <v>31138</v>
      </c>
      <c r="C185" s="3">
        <v>0.11396000000000001</v>
      </c>
      <c r="D185" s="3">
        <v>0.11396000000000001</v>
      </c>
      <c r="E185" s="3">
        <v>0.11396000000000001</v>
      </c>
      <c r="F185" s="3">
        <v>0.11396000000000001</v>
      </c>
      <c r="G185" s="1">
        <v>-2.07E-2</v>
      </c>
    </row>
    <row r="186" spans="2:7" x14ac:dyDescent="0.3">
      <c r="B186" s="2">
        <v>31168</v>
      </c>
      <c r="C186" s="3">
        <v>0.10289</v>
      </c>
      <c r="D186" s="3">
        <v>0.10289</v>
      </c>
      <c r="E186" s="3">
        <v>0.10289</v>
      </c>
      <c r="F186" s="3">
        <v>0.10289</v>
      </c>
      <c r="G186" s="1">
        <v>-9.7100000000000006E-2</v>
      </c>
    </row>
    <row r="187" spans="2:7" x14ac:dyDescent="0.3">
      <c r="B187" s="2">
        <v>31199</v>
      </c>
      <c r="C187" s="3">
        <v>0.10236000000000001</v>
      </c>
      <c r="D187" s="3">
        <v>0.10236000000000001</v>
      </c>
      <c r="E187" s="3">
        <v>0.10236000000000001</v>
      </c>
      <c r="F187" s="3">
        <v>0.10236000000000001</v>
      </c>
      <c r="G187" s="1">
        <v>-5.1999999999999998E-3</v>
      </c>
    </row>
    <row r="188" spans="2:7" x14ac:dyDescent="0.3">
      <c r="B188" s="2">
        <v>31229</v>
      </c>
      <c r="C188" s="3">
        <v>0.10555999999999999</v>
      </c>
      <c r="D188" s="3">
        <v>0.10555999999999999</v>
      </c>
      <c r="E188" s="3">
        <v>0.10555999999999999</v>
      </c>
      <c r="F188" s="3">
        <v>0.10555999999999999</v>
      </c>
      <c r="G188" s="1">
        <v>3.1300000000000001E-2</v>
      </c>
    </row>
    <row r="189" spans="2:7" x14ac:dyDescent="0.3">
      <c r="B189" s="2">
        <v>31260</v>
      </c>
      <c r="C189" s="3">
        <v>0.10321999999999999</v>
      </c>
      <c r="D189" s="3">
        <v>0.10321999999999999</v>
      </c>
      <c r="E189" s="3">
        <v>0.10321999999999999</v>
      </c>
      <c r="F189" s="3">
        <v>0.10321999999999999</v>
      </c>
      <c r="G189" s="1">
        <v>-2.2200000000000001E-2</v>
      </c>
    </row>
    <row r="190" spans="2:7" x14ac:dyDescent="0.3">
      <c r="B190" s="2">
        <v>31291</v>
      </c>
      <c r="C190" s="3">
        <v>0.10288</v>
      </c>
      <c r="D190" s="3">
        <v>0.10288</v>
      </c>
      <c r="E190" s="3">
        <v>0.10288</v>
      </c>
      <c r="F190" s="3">
        <v>0.10288</v>
      </c>
      <c r="G190" s="1">
        <v>-3.3E-3</v>
      </c>
    </row>
    <row r="191" spans="2:7" x14ac:dyDescent="0.3">
      <c r="B191" s="2">
        <v>31321</v>
      </c>
      <c r="C191" s="3">
        <v>9.9900000000000003E-2</v>
      </c>
      <c r="D191" s="3">
        <v>9.9900000000000003E-2</v>
      </c>
      <c r="E191" s="3">
        <v>9.9900000000000003E-2</v>
      </c>
      <c r="F191" s="3">
        <v>9.9900000000000003E-2</v>
      </c>
      <c r="G191" s="1">
        <v>-2.9000000000000001E-2</v>
      </c>
    </row>
    <row r="192" spans="2:7" x14ac:dyDescent="0.3">
      <c r="B192" s="2">
        <v>31352</v>
      </c>
      <c r="C192" s="3">
        <v>9.6290000000000001E-2</v>
      </c>
      <c r="D192" s="3">
        <v>9.6290000000000001E-2</v>
      </c>
      <c r="E192" s="3">
        <v>9.6290000000000001E-2</v>
      </c>
      <c r="F192" s="3">
        <v>9.6290000000000001E-2</v>
      </c>
      <c r="G192" s="1">
        <v>-3.61E-2</v>
      </c>
    </row>
    <row r="193" spans="2:7" x14ac:dyDescent="0.3">
      <c r="B193" s="2">
        <v>31382</v>
      </c>
      <c r="C193" s="3">
        <v>8.9870000000000005E-2</v>
      </c>
      <c r="D193" s="3">
        <v>8.9870000000000005E-2</v>
      </c>
      <c r="E193" s="3">
        <v>8.9870000000000005E-2</v>
      </c>
      <c r="F193" s="3">
        <v>8.9870000000000005E-2</v>
      </c>
      <c r="G193" s="1">
        <v>-6.6699999999999995E-2</v>
      </c>
    </row>
    <row r="194" spans="2:7" x14ac:dyDescent="0.3">
      <c r="B194" s="2">
        <v>31413</v>
      </c>
      <c r="C194" s="3">
        <v>9.0440000000000006E-2</v>
      </c>
      <c r="D194" s="3">
        <v>9.0440000000000006E-2</v>
      </c>
      <c r="E194" s="3">
        <v>9.0440000000000006E-2</v>
      </c>
      <c r="F194" s="3">
        <v>9.0440000000000006E-2</v>
      </c>
      <c r="G194" s="1">
        <v>6.3E-3</v>
      </c>
    </row>
    <row r="195" spans="2:7" x14ac:dyDescent="0.3">
      <c r="B195" s="2">
        <v>31444</v>
      </c>
      <c r="C195" s="3">
        <v>8.1430000000000002E-2</v>
      </c>
      <c r="D195" s="3">
        <v>8.1430000000000002E-2</v>
      </c>
      <c r="E195" s="3">
        <v>8.1430000000000002E-2</v>
      </c>
      <c r="F195" s="3">
        <v>8.1430000000000002E-2</v>
      </c>
      <c r="G195" s="1">
        <v>-9.9599999999999994E-2</v>
      </c>
    </row>
    <row r="196" spans="2:7" x14ac:dyDescent="0.3">
      <c r="B196" s="2">
        <v>31472</v>
      </c>
      <c r="C196" s="3">
        <v>7.3789999999999994E-2</v>
      </c>
      <c r="D196" s="3">
        <v>7.3789999999999994E-2</v>
      </c>
      <c r="E196" s="3">
        <v>7.3789999999999994E-2</v>
      </c>
      <c r="F196" s="3">
        <v>7.3789999999999994E-2</v>
      </c>
      <c r="G196" s="1">
        <v>-9.3799999999999994E-2</v>
      </c>
    </row>
    <row r="197" spans="2:7" x14ac:dyDescent="0.3">
      <c r="B197" s="2">
        <v>31503</v>
      </c>
      <c r="C197" s="3">
        <v>7.3689999999999992E-2</v>
      </c>
      <c r="D197" s="3">
        <v>7.3689999999999992E-2</v>
      </c>
      <c r="E197" s="3">
        <v>7.3689999999999992E-2</v>
      </c>
      <c r="F197" s="3">
        <v>7.3689999999999992E-2</v>
      </c>
      <c r="G197" s="1">
        <v>-1.4E-3</v>
      </c>
    </row>
    <row r="198" spans="2:7" x14ac:dyDescent="0.3">
      <c r="B198" s="2">
        <v>31533</v>
      </c>
      <c r="C198" s="3">
        <v>8.0649999999999999E-2</v>
      </c>
      <c r="D198" s="3">
        <v>8.0649999999999999E-2</v>
      </c>
      <c r="E198" s="3">
        <v>8.0649999999999999E-2</v>
      </c>
      <c r="F198" s="3">
        <v>8.0649999999999999E-2</v>
      </c>
      <c r="G198" s="1">
        <v>9.4399999999999998E-2</v>
      </c>
    </row>
    <row r="199" spans="2:7" x14ac:dyDescent="0.3">
      <c r="B199" s="2">
        <v>31564</v>
      </c>
      <c r="C199" s="3">
        <v>7.3380000000000001E-2</v>
      </c>
      <c r="D199" s="3">
        <v>7.3380000000000001E-2</v>
      </c>
      <c r="E199" s="3">
        <v>7.3380000000000001E-2</v>
      </c>
      <c r="F199" s="3">
        <v>7.3380000000000001E-2</v>
      </c>
      <c r="G199" s="1">
        <v>-9.01E-2</v>
      </c>
    </row>
    <row r="200" spans="2:7" x14ac:dyDescent="0.3">
      <c r="B200" s="2">
        <v>31594</v>
      </c>
      <c r="C200" s="3">
        <v>7.3289999999999994E-2</v>
      </c>
      <c r="D200" s="3">
        <v>7.3289999999999994E-2</v>
      </c>
      <c r="E200" s="3">
        <v>7.3289999999999994E-2</v>
      </c>
      <c r="F200" s="3">
        <v>7.3289999999999994E-2</v>
      </c>
      <c r="G200" s="1">
        <v>-1.1999999999999999E-3</v>
      </c>
    </row>
    <row r="201" spans="2:7" x14ac:dyDescent="0.3">
      <c r="B201" s="2">
        <v>31625</v>
      </c>
      <c r="C201" s="3">
        <v>6.923E-2</v>
      </c>
      <c r="D201" s="3">
        <v>6.923E-2</v>
      </c>
      <c r="E201" s="3">
        <v>6.923E-2</v>
      </c>
      <c r="F201" s="3">
        <v>6.923E-2</v>
      </c>
      <c r="G201" s="1">
        <v>-5.5399999999999998E-2</v>
      </c>
    </row>
    <row r="202" spans="2:7" x14ac:dyDescent="0.3">
      <c r="B202" s="2">
        <v>31656</v>
      </c>
      <c r="C202" s="3">
        <v>7.4319999999999997E-2</v>
      </c>
      <c r="D202" s="3">
        <v>7.4319999999999997E-2</v>
      </c>
      <c r="E202" s="3">
        <v>7.4319999999999997E-2</v>
      </c>
      <c r="F202" s="3">
        <v>7.4319999999999997E-2</v>
      </c>
      <c r="G202" s="1">
        <v>7.3499999999999996E-2</v>
      </c>
    </row>
    <row r="203" spans="2:7" x14ac:dyDescent="0.3">
      <c r="B203" s="2">
        <v>31686</v>
      </c>
      <c r="C203" s="3">
        <v>7.3099999999999998E-2</v>
      </c>
      <c r="D203" s="3">
        <v>7.3099999999999998E-2</v>
      </c>
      <c r="E203" s="3">
        <v>7.3099999999999998E-2</v>
      </c>
      <c r="F203" s="3">
        <v>7.3099999999999998E-2</v>
      </c>
      <c r="G203" s="1">
        <v>-1.6400000000000001E-2</v>
      </c>
    </row>
    <row r="204" spans="2:7" x14ac:dyDescent="0.3">
      <c r="B204" s="2">
        <v>31717</v>
      </c>
      <c r="C204" s="3">
        <v>7.2069999999999995E-2</v>
      </c>
      <c r="D204" s="3">
        <v>7.2069999999999995E-2</v>
      </c>
      <c r="E204" s="3">
        <v>7.2069999999999995E-2</v>
      </c>
      <c r="F204" s="3">
        <v>7.2069999999999995E-2</v>
      </c>
      <c r="G204" s="1">
        <v>-1.41E-2</v>
      </c>
    </row>
    <row r="205" spans="2:7" x14ac:dyDescent="0.3">
      <c r="B205" s="2">
        <v>31747</v>
      </c>
      <c r="C205" s="3">
        <v>7.22E-2</v>
      </c>
      <c r="D205" s="3">
        <v>7.22E-2</v>
      </c>
      <c r="E205" s="3">
        <v>7.22E-2</v>
      </c>
      <c r="F205" s="3">
        <v>7.22E-2</v>
      </c>
      <c r="G205" s="1">
        <v>1.8E-3</v>
      </c>
    </row>
    <row r="206" spans="2:7" x14ac:dyDescent="0.3">
      <c r="B206" s="2">
        <v>31778</v>
      </c>
      <c r="C206" s="3">
        <v>7.1599999999999997E-2</v>
      </c>
      <c r="D206" s="3">
        <v>7.1599999999999997E-2</v>
      </c>
      <c r="E206" s="3">
        <v>7.1599999999999997E-2</v>
      </c>
      <c r="F206" s="3">
        <v>7.1599999999999997E-2</v>
      </c>
      <c r="G206" s="1">
        <v>-8.3000000000000001E-3</v>
      </c>
    </row>
    <row r="207" spans="2:7" x14ac:dyDescent="0.3">
      <c r="B207" s="2">
        <v>31809</v>
      </c>
      <c r="C207" s="3">
        <v>7.177E-2</v>
      </c>
      <c r="D207" s="3">
        <v>7.177E-2</v>
      </c>
      <c r="E207" s="3">
        <v>7.177E-2</v>
      </c>
      <c r="F207" s="3">
        <v>7.177E-2</v>
      </c>
      <c r="G207" s="1">
        <v>2.3999999999999998E-3</v>
      </c>
    </row>
    <row r="208" spans="2:7" x14ac:dyDescent="0.3">
      <c r="B208" s="2">
        <v>31837</v>
      </c>
      <c r="C208" s="3">
        <v>7.4889999999999998E-2</v>
      </c>
      <c r="D208" s="3">
        <v>7.4889999999999998E-2</v>
      </c>
      <c r="E208" s="3">
        <v>7.4889999999999998E-2</v>
      </c>
      <c r="F208" s="3">
        <v>7.4889999999999998E-2</v>
      </c>
      <c r="G208" s="1">
        <v>4.3499999999999997E-2</v>
      </c>
    </row>
    <row r="209" spans="2:7" x14ac:dyDescent="0.3">
      <c r="B209" s="2">
        <v>31868</v>
      </c>
      <c r="C209" s="3">
        <v>8.1820000000000004E-2</v>
      </c>
      <c r="D209" s="3">
        <v>8.1820000000000004E-2</v>
      </c>
      <c r="E209" s="3">
        <v>8.1820000000000004E-2</v>
      </c>
      <c r="F209" s="3">
        <v>8.1820000000000004E-2</v>
      </c>
      <c r="G209" s="1">
        <v>9.2499999999999999E-2</v>
      </c>
    </row>
    <row r="210" spans="2:7" x14ac:dyDescent="0.3">
      <c r="B210" s="2">
        <v>31898</v>
      </c>
      <c r="C210" s="3">
        <v>8.5020000000000012E-2</v>
      </c>
      <c r="D210" s="3">
        <v>8.5020000000000012E-2</v>
      </c>
      <c r="E210" s="3">
        <v>8.5020000000000012E-2</v>
      </c>
      <c r="F210" s="3">
        <v>8.5020000000000012E-2</v>
      </c>
      <c r="G210" s="1">
        <v>3.9100000000000003E-2</v>
      </c>
    </row>
    <row r="211" spans="2:7" x14ac:dyDescent="0.3">
      <c r="B211" s="2">
        <v>31929</v>
      </c>
      <c r="C211" s="3">
        <v>8.3710000000000007E-2</v>
      </c>
      <c r="D211" s="3">
        <v>8.3710000000000007E-2</v>
      </c>
      <c r="E211" s="3">
        <v>8.3710000000000007E-2</v>
      </c>
      <c r="F211" s="3">
        <v>8.3710000000000007E-2</v>
      </c>
      <c r="G211" s="1">
        <v>-1.54E-2</v>
      </c>
    </row>
    <row r="212" spans="2:7" x14ac:dyDescent="0.3">
      <c r="B212" s="2">
        <v>31959</v>
      </c>
      <c r="C212" s="3">
        <v>8.6569999999999994E-2</v>
      </c>
      <c r="D212" s="3">
        <v>8.6569999999999994E-2</v>
      </c>
      <c r="E212" s="3">
        <v>8.6569999999999994E-2</v>
      </c>
      <c r="F212" s="3">
        <v>8.6569999999999994E-2</v>
      </c>
      <c r="G212" s="1">
        <v>3.4200000000000001E-2</v>
      </c>
    </row>
    <row r="213" spans="2:7" x14ac:dyDescent="0.3">
      <c r="B213" s="2">
        <v>31990</v>
      </c>
      <c r="C213" s="3">
        <v>8.9700000000000002E-2</v>
      </c>
      <c r="D213" s="3">
        <v>8.9700000000000002E-2</v>
      </c>
      <c r="E213" s="3">
        <v>8.9700000000000002E-2</v>
      </c>
      <c r="F213" s="3">
        <v>8.9700000000000002E-2</v>
      </c>
      <c r="G213" s="1">
        <v>3.6200000000000003E-2</v>
      </c>
    </row>
    <row r="214" spans="2:7" x14ac:dyDescent="0.3">
      <c r="B214" s="2">
        <v>32021</v>
      </c>
      <c r="C214" s="3">
        <v>9.6370000000000011E-2</v>
      </c>
      <c r="D214" s="3">
        <v>9.6370000000000011E-2</v>
      </c>
      <c r="E214" s="3">
        <v>9.6370000000000011E-2</v>
      </c>
      <c r="F214" s="3">
        <v>9.6370000000000011E-2</v>
      </c>
      <c r="G214" s="1">
        <v>7.4399999999999994E-2</v>
      </c>
    </row>
    <row r="215" spans="2:7" x14ac:dyDescent="0.3">
      <c r="B215" s="2">
        <v>32051</v>
      </c>
      <c r="C215" s="3">
        <v>8.7989999999999999E-2</v>
      </c>
      <c r="D215" s="3">
        <v>8.7989999999999999E-2</v>
      </c>
      <c r="E215" s="3">
        <v>8.7989999999999999E-2</v>
      </c>
      <c r="F215" s="3">
        <v>8.7989999999999999E-2</v>
      </c>
      <c r="G215" s="1">
        <v>-8.6999999999999994E-2</v>
      </c>
    </row>
    <row r="216" spans="2:7" x14ac:dyDescent="0.3">
      <c r="B216" s="2">
        <v>32082</v>
      </c>
      <c r="C216" s="3">
        <v>8.9890000000000012E-2</v>
      </c>
      <c r="D216" s="3">
        <v>8.9890000000000012E-2</v>
      </c>
      <c r="E216" s="3">
        <v>8.9890000000000012E-2</v>
      </c>
      <c r="F216" s="3">
        <v>8.9890000000000012E-2</v>
      </c>
      <c r="G216" s="1">
        <v>2.1600000000000001E-2</v>
      </c>
    </row>
    <row r="217" spans="2:7" x14ac:dyDescent="0.3">
      <c r="B217" s="2">
        <v>32112</v>
      </c>
      <c r="C217" s="3">
        <v>8.8340000000000002E-2</v>
      </c>
      <c r="D217" s="3">
        <v>8.8340000000000002E-2</v>
      </c>
      <c r="E217" s="3">
        <v>8.8340000000000002E-2</v>
      </c>
      <c r="F217" s="3">
        <v>8.8340000000000002E-2</v>
      </c>
      <c r="G217" s="1">
        <v>-1.72E-2</v>
      </c>
    </row>
    <row r="218" spans="2:7" x14ac:dyDescent="0.3">
      <c r="B218" s="2">
        <v>32143</v>
      </c>
      <c r="C218" s="3">
        <v>8.2720000000000002E-2</v>
      </c>
      <c r="D218" s="3">
        <v>8.2720000000000002E-2</v>
      </c>
      <c r="E218" s="3">
        <v>8.2720000000000002E-2</v>
      </c>
      <c r="F218" s="3">
        <v>8.2720000000000002E-2</v>
      </c>
      <c r="G218" s="1">
        <v>-6.3600000000000004E-2</v>
      </c>
    </row>
    <row r="219" spans="2:7" x14ac:dyDescent="0.3">
      <c r="B219" s="2">
        <v>32174</v>
      </c>
      <c r="C219" s="3">
        <v>8.1519999999999995E-2</v>
      </c>
      <c r="D219" s="3">
        <v>8.1519999999999995E-2</v>
      </c>
      <c r="E219" s="3">
        <v>8.1519999999999995E-2</v>
      </c>
      <c r="F219" s="3">
        <v>8.1519999999999995E-2</v>
      </c>
      <c r="G219" s="1">
        <v>-1.4500000000000001E-2</v>
      </c>
    </row>
    <row r="220" spans="2:7" x14ac:dyDescent="0.3">
      <c r="B220" s="2">
        <v>32203</v>
      </c>
      <c r="C220" s="3">
        <v>8.5690000000000002E-2</v>
      </c>
      <c r="D220" s="3">
        <v>8.5690000000000002E-2</v>
      </c>
      <c r="E220" s="3">
        <v>8.5690000000000002E-2</v>
      </c>
      <c r="F220" s="3">
        <v>8.5690000000000002E-2</v>
      </c>
      <c r="G220" s="1">
        <v>5.1200000000000002E-2</v>
      </c>
    </row>
    <row r="221" spans="2:7" x14ac:dyDescent="0.3">
      <c r="B221" s="2">
        <v>32234</v>
      </c>
      <c r="C221" s="3">
        <v>8.8670000000000013E-2</v>
      </c>
      <c r="D221" s="3">
        <v>8.8670000000000013E-2</v>
      </c>
      <c r="E221" s="3">
        <v>8.8670000000000013E-2</v>
      </c>
      <c r="F221" s="3">
        <v>8.8670000000000013E-2</v>
      </c>
      <c r="G221" s="1">
        <v>3.4799999999999998E-2</v>
      </c>
    </row>
    <row r="222" spans="2:7" x14ac:dyDescent="0.3">
      <c r="B222" s="2">
        <v>32264</v>
      </c>
      <c r="C222" s="3">
        <v>9.212999999999999E-2</v>
      </c>
      <c r="D222" s="3">
        <v>9.212999999999999E-2</v>
      </c>
      <c r="E222" s="3">
        <v>9.212999999999999E-2</v>
      </c>
      <c r="F222" s="3">
        <v>9.212999999999999E-2</v>
      </c>
      <c r="G222" s="1">
        <v>3.9E-2</v>
      </c>
    </row>
    <row r="223" spans="2:7" x14ac:dyDescent="0.3">
      <c r="B223" s="2">
        <v>32295</v>
      </c>
      <c r="C223" s="3">
        <v>8.8100000000000012E-2</v>
      </c>
      <c r="D223" s="3">
        <v>8.8100000000000012E-2</v>
      </c>
      <c r="E223" s="3">
        <v>8.8100000000000012E-2</v>
      </c>
      <c r="F223" s="3">
        <v>8.8100000000000012E-2</v>
      </c>
      <c r="G223" s="1">
        <v>-4.3700000000000003E-2</v>
      </c>
    </row>
    <row r="224" spans="2:7" x14ac:dyDescent="0.3">
      <c r="B224" s="2">
        <v>32325</v>
      </c>
      <c r="C224" s="3">
        <v>9.1179999999999997E-2</v>
      </c>
      <c r="D224" s="3">
        <v>9.1179999999999997E-2</v>
      </c>
      <c r="E224" s="3">
        <v>9.1179999999999997E-2</v>
      </c>
      <c r="F224" s="3">
        <v>9.1179999999999997E-2</v>
      </c>
      <c r="G224" s="1">
        <v>3.5000000000000003E-2</v>
      </c>
    </row>
    <row r="225" spans="2:7" x14ac:dyDescent="0.3">
      <c r="B225" s="2">
        <v>32356</v>
      </c>
      <c r="C225" s="3">
        <v>9.2539999999999997E-2</v>
      </c>
      <c r="D225" s="3">
        <v>9.2539999999999997E-2</v>
      </c>
      <c r="E225" s="3">
        <v>9.2539999999999997E-2</v>
      </c>
      <c r="F225" s="3">
        <v>9.2539999999999997E-2</v>
      </c>
      <c r="G225" s="1">
        <v>1.49E-2</v>
      </c>
    </row>
    <row r="226" spans="2:7" x14ac:dyDescent="0.3">
      <c r="B226" s="2">
        <v>32387</v>
      </c>
      <c r="C226" s="3">
        <v>8.8569999999999996E-2</v>
      </c>
      <c r="D226" s="3">
        <v>8.8569999999999996E-2</v>
      </c>
      <c r="E226" s="3">
        <v>8.8569999999999996E-2</v>
      </c>
      <c r="F226" s="3">
        <v>8.8569999999999996E-2</v>
      </c>
      <c r="G226" s="1">
        <v>-4.2900000000000001E-2</v>
      </c>
    </row>
    <row r="227" spans="2:7" x14ac:dyDescent="0.3">
      <c r="B227" s="2">
        <v>32417</v>
      </c>
      <c r="C227" s="3">
        <v>8.6419999999999997E-2</v>
      </c>
      <c r="D227" s="3">
        <v>8.6419999999999997E-2</v>
      </c>
      <c r="E227" s="3">
        <v>8.6419999999999997E-2</v>
      </c>
      <c r="F227" s="3">
        <v>8.6419999999999997E-2</v>
      </c>
      <c r="G227" s="1">
        <v>-2.4299999999999999E-2</v>
      </c>
    </row>
    <row r="228" spans="2:7" x14ac:dyDescent="0.3">
      <c r="B228" s="2">
        <v>32448</v>
      </c>
      <c r="C228" s="3">
        <v>9.0619999999999992E-2</v>
      </c>
      <c r="D228" s="3">
        <v>9.0619999999999992E-2</v>
      </c>
      <c r="E228" s="3">
        <v>9.0619999999999992E-2</v>
      </c>
      <c r="F228" s="3">
        <v>9.0619999999999992E-2</v>
      </c>
      <c r="G228" s="1">
        <v>4.8599999999999997E-2</v>
      </c>
    </row>
    <row r="229" spans="2:7" x14ac:dyDescent="0.3">
      <c r="B229" s="2">
        <v>32478</v>
      </c>
      <c r="C229" s="3">
        <v>9.144999999999999E-2</v>
      </c>
      <c r="D229" s="3">
        <v>9.144999999999999E-2</v>
      </c>
      <c r="E229" s="3">
        <v>9.144999999999999E-2</v>
      </c>
      <c r="F229" s="3">
        <v>9.144999999999999E-2</v>
      </c>
      <c r="G229" s="1">
        <v>9.1999999999999998E-3</v>
      </c>
    </row>
    <row r="230" spans="2:7" x14ac:dyDescent="0.3">
      <c r="B230" s="2">
        <v>32509</v>
      </c>
      <c r="C230" s="3">
        <v>9.0029999999999999E-2</v>
      </c>
      <c r="D230" s="3">
        <v>9.0029999999999999E-2</v>
      </c>
      <c r="E230" s="3">
        <v>9.0029999999999999E-2</v>
      </c>
      <c r="F230" s="3">
        <v>9.0029999999999999E-2</v>
      </c>
      <c r="G230" s="1">
        <v>-1.55E-2</v>
      </c>
    </row>
    <row r="231" spans="2:7" x14ac:dyDescent="0.3">
      <c r="B231" s="2">
        <v>32540</v>
      </c>
      <c r="C231" s="3">
        <v>9.3230000000000007E-2</v>
      </c>
      <c r="D231" s="3">
        <v>9.3230000000000007E-2</v>
      </c>
      <c r="E231" s="3">
        <v>9.3230000000000007E-2</v>
      </c>
      <c r="F231" s="3">
        <v>9.3230000000000007E-2</v>
      </c>
      <c r="G231" s="1">
        <v>3.5499999999999997E-2</v>
      </c>
    </row>
    <row r="232" spans="2:7" x14ac:dyDescent="0.3">
      <c r="B232" s="2">
        <v>32568</v>
      </c>
      <c r="C232" s="3">
        <v>9.3039999999999998E-2</v>
      </c>
      <c r="D232" s="3">
        <v>9.3039999999999998E-2</v>
      </c>
      <c r="E232" s="3">
        <v>9.3039999999999998E-2</v>
      </c>
      <c r="F232" s="3">
        <v>9.3039999999999998E-2</v>
      </c>
      <c r="G232" s="1">
        <v>-2E-3</v>
      </c>
    </row>
    <row r="233" spans="2:7" x14ac:dyDescent="0.3">
      <c r="B233" s="2">
        <v>32599</v>
      </c>
      <c r="C233" s="3">
        <v>9.018000000000001E-2</v>
      </c>
      <c r="D233" s="3">
        <v>9.018000000000001E-2</v>
      </c>
      <c r="E233" s="3">
        <v>9.018000000000001E-2</v>
      </c>
      <c r="F233" s="3">
        <v>9.018000000000001E-2</v>
      </c>
      <c r="G233" s="1">
        <v>-3.0700000000000002E-2</v>
      </c>
    </row>
    <row r="234" spans="2:7" x14ac:dyDescent="0.3">
      <c r="B234" s="2">
        <v>32629</v>
      </c>
      <c r="C234" s="3">
        <v>8.6029999999999995E-2</v>
      </c>
      <c r="D234" s="3">
        <v>8.6029999999999995E-2</v>
      </c>
      <c r="E234" s="3">
        <v>8.6029999999999995E-2</v>
      </c>
      <c r="F234" s="3">
        <v>8.6029999999999995E-2</v>
      </c>
      <c r="G234" s="1">
        <v>-4.5999999999999999E-2</v>
      </c>
    </row>
    <row r="235" spans="2:7" x14ac:dyDescent="0.3">
      <c r="B235" s="2">
        <v>32660</v>
      </c>
      <c r="C235" s="3">
        <v>8.097E-2</v>
      </c>
      <c r="D235" s="3">
        <v>8.097E-2</v>
      </c>
      <c r="E235" s="3">
        <v>8.097E-2</v>
      </c>
      <c r="F235" s="3">
        <v>8.097E-2</v>
      </c>
      <c r="G235" s="1">
        <v>-5.8799999999999998E-2</v>
      </c>
    </row>
    <row r="236" spans="2:7" x14ac:dyDescent="0.3">
      <c r="B236" s="2">
        <v>32690</v>
      </c>
      <c r="C236" s="3">
        <v>7.8120000000000009E-2</v>
      </c>
      <c r="D236" s="3">
        <v>7.8120000000000009E-2</v>
      </c>
      <c r="E236" s="3">
        <v>7.8120000000000009E-2</v>
      </c>
      <c r="F236" s="3">
        <v>7.8120000000000009E-2</v>
      </c>
      <c r="G236" s="1">
        <v>-3.5200000000000002E-2</v>
      </c>
    </row>
    <row r="237" spans="2:7" x14ac:dyDescent="0.3">
      <c r="B237" s="2">
        <v>32721</v>
      </c>
      <c r="C237" s="3">
        <v>8.2560000000000008E-2</v>
      </c>
      <c r="D237" s="3">
        <v>8.2560000000000008E-2</v>
      </c>
      <c r="E237" s="3">
        <v>8.2560000000000008E-2</v>
      </c>
      <c r="F237" s="3">
        <v>8.2560000000000008E-2</v>
      </c>
      <c r="G237" s="1">
        <v>5.6800000000000003E-2</v>
      </c>
    </row>
    <row r="238" spans="2:7" x14ac:dyDescent="0.3">
      <c r="B238" s="2">
        <v>32752</v>
      </c>
      <c r="C238" s="3">
        <v>8.3030000000000007E-2</v>
      </c>
      <c r="D238" s="3">
        <v>8.3030000000000007E-2</v>
      </c>
      <c r="E238" s="3">
        <v>8.3030000000000007E-2</v>
      </c>
      <c r="F238" s="3">
        <v>8.3030000000000007E-2</v>
      </c>
      <c r="G238" s="1">
        <v>5.7000000000000002E-3</v>
      </c>
    </row>
    <row r="239" spans="2:7" x14ac:dyDescent="0.3">
      <c r="B239" s="2">
        <v>32782</v>
      </c>
      <c r="C239" s="3">
        <v>7.9229999999999995E-2</v>
      </c>
      <c r="D239" s="3">
        <v>7.9229999999999995E-2</v>
      </c>
      <c r="E239" s="3">
        <v>7.9229999999999995E-2</v>
      </c>
      <c r="F239" s="3">
        <v>7.9229999999999995E-2</v>
      </c>
      <c r="G239" s="1">
        <v>-4.58E-2</v>
      </c>
    </row>
    <row r="240" spans="2:7" x14ac:dyDescent="0.3">
      <c r="B240" s="2">
        <v>32813</v>
      </c>
      <c r="C240" s="3">
        <v>7.8380000000000005E-2</v>
      </c>
      <c r="D240" s="3">
        <v>7.8380000000000005E-2</v>
      </c>
      <c r="E240" s="3">
        <v>7.8380000000000005E-2</v>
      </c>
      <c r="F240" s="3">
        <v>7.8380000000000005E-2</v>
      </c>
      <c r="G240" s="1">
        <v>-1.0699999999999999E-2</v>
      </c>
    </row>
    <row r="241" spans="2:7" x14ac:dyDescent="0.3">
      <c r="B241" s="2">
        <v>32843</v>
      </c>
      <c r="C241" s="3">
        <v>7.9329999999999998E-2</v>
      </c>
      <c r="D241" s="3">
        <v>7.9329999999999998E-2</v>
      </c>
      <c r="E241" s="3">
        <v>7.9329999999999998E-2</v>
      </c>
      <c r="F241" s="3">
        <v>7.9329999999999998E-2</v>
      </c>
      <c r="G241" s="1">
        <v>1.21E-2</v>
      </c>
    </row>
    <row r="242" spans="2:7" x14ac:dyDescent="0.3">
      <c r="B242" s="2">
        <v>32874</v>
      </c>
      <c r="C242" s="3">
        <v>8.4229999999999999E-2</v>
      </c>
      <c r="D242" s="3">
        <v>8.4229999999999999E-2</v>
      </c>
      <c r="E242" s="3">
        <v>8.4229999999999999E-2</v>
      </c>
      <c r="F242" s="3">
        <v>8.4229999999999999E-2</v>
      </c>
      <c r="G242" s="1">
        <v>6.1800000000000001E-2</v>
      </c>
    </row>
    <row r="243" spans="2:7" x14ac:dyDescent="0.3">
      <c r="B243" s="2">
        <v>32905</v>
      </c>
      <c r="C243" s="3">
        <v>8.5269999999999999E-2</v>
      </c>
      <c r="D243" s="3">
        <v>8.5269999999999999E-2</v>
      </c>
      <c r="E243" s="3">
        <v>8.5269999999999999E-2</v>
      </c>
      <c r="F243" s="3">
        <v>8.5269999999999999E-2</v>
      </c>
      <c r="G243" s="1">
        <v>1.23E-2</v>
      </c>
    </row>
    <row r="244" spans="2:7" x14ac:dyDescent="0.3">
      <c r="B244" s="2">
        <v>32933</v>
      </c>
      <c r="C244" s="3">
        <v>8.6210000000000009E-2</v>
      </c>
      <c r="D244" s="3">
        <v>8.6210000000000009E-2</v>
      </c>
      <c r="E244" s="3">
        <v>8.6210000000000009E-2</v>
      </c>
      <c r="F244" s="3">
        <v>8.6210000000000009E-2</v>
      </c>
      <c r="G244" s="1">
        <v>1.0999999999999999E-2</v>
      </c>
    </row>
    <row r="245" spans="2:7" x14ac:dyDescent="0.3">
      <c r="B245" s="2">
        <v>32964</v>
      </c>
      <c r="C245" s="3">
        <v>9.0730000000000005E-2</v>
      </c>
      <c r="D245" s="3">
        <v>9.0730000000000005E-2</v>
      </c>
      <c r="E245" s="3">
        <v>9.0730000000000005E-2</v>
      </c>
      <c r="F245" s="3">
        <v>9.0730000000000005E-2</v>
      </c>
      <c r="G245" s="1">
        <v>5.2400000000000002E-2</v>
      </c>
    </row>
    <row r="246" spans="2:7" x14ac:dyDescent="0.3">
      <c r="B246" s="2">
        <v>32994</v>
      </c>
      <c r="C246" s="3">
        <v>8.6180000000000007E-2</v>
      </c>
      <c r="D246" s="3">
        <v>8.6180000000000007E-2</v>
      </c>
      <c r="E246" s="3">
        <v>8.6180000000000007E-2</v>
      </c>
      <c r="F246" s="3">
        <v>8.6180000000000007E-2</v>
      </c>
      <c r="G246" s="1">
        <v>-5.0099999999999999E-2</v>
      </c>
    </row>
    <row r="247" spans="2:7" x14ac:dyDescent="0.3">
      <c r="B247" s="2">
        <v>33025</v>
      </c>
      <c r="C247" s="3">
        <v>8.4229999999999999E-2</v>
      </c>
      <c r="D247" s="3">
        <v>8.4229999999999999E-2</v>
      </c>
      <c r="E247" s="3">
        <v>8.4229999999999999E-2</v>
      </c>
      <c r="F247" s="3">
        <v>8.4229999999999999E-2</v>
      </c>
      <c r="G247" s="1">
        <v>-2.2599999999999999E-2</v>
      </c>
    </row>
    <row r="248" spans="2:7" x14ac:dyDescent="0.3">
      <c r="B248" s="2">
        <v>33055</v>
      </c>
      <c r="C248" s="3">
        <v>8.3510000000000015E-2</v>
      </c>
      <c r="D248" s="3">
        <v>8.3510000000000015E-2</v>
      </c>
      <c r="E248" s="3">
        <v>8.3510000000000015E-2</v>
      </c>
      <c r="F248" s="3">
        <v>8.3510000000000015E-2</v>
      </c>
      <c r="G248" s="1">
        <v>-8.5000000000000006E-3</v>
      </c>
    </row>
    <row r="249" spans="2:7" x14ac:dyDescent="0.3">
      <c r="B249" s="2">
        <v>33086</v>
      </c>
      <c r="C249" s="3">
        <v>8.8590000000000002E-2</v>
      </c>
      <c r="D249" s="3">
        <v>8.8590000000000002E-2</v>
      </c>
      <c r="E249" s="3">
        <v>8.8590000000000002E-2</v>
      </c>
      <c r="F249" s="3">
        <v>8.8590000000000002E-2</v>
      </c>
      <c r="G249" s="1">
        <v>6.08E-2</v>
      </c>
    </row>
    <row r="250" spans="2:7" x14ac:dyDescent="0.3">
      <c r="B250" s="2">
        <v>33117</v>
      </c>
      <c r="C250" s="3">
        <v>8.8100000000000012E-2</v>
      </c>
      <c r="D250" s="3">
        <v>8.8100000000000012E-2</v>
      </c>
      <c r="E250" s="3">
        <v>8.8100000000000012E-2</v>
      </c>
      <c r="F250" s="3">
        <v>8.8100000000000012E-2</v>
      </c>
      <c r="G250" s="1">
        <v>-5.4999999999999997E-3</v>
      </c>
    </row>
    <row r="251" spans="2:7" x14ac:dyDescent="0.3">
      <c r="B251" s="2">
        <v>33147</v>
      </c>
      <c r="C251" s="3">
        <v>8.6270000000000013E-2</v>
      </c>
      <c r="D251" s="3">
        <v>8.6270000000000013E-2</v>
      </c>
      <c r="E251" s="3">
        <v>8.6270000000000013E-2</v>
      </c>
      <c r="F251" s="3">
        <v>8.6270000000000013E-2</v>
      </c>
      <c r="G251" s="1">
        <v>-2.0799999999999999E-2</v>
      </c>
    </row>
    <row r="252" spans="2:7" x14ac:dyDescent="0.3">
      <c r="B252" s="2">
        <v>33178</v>
      </c>
      <c r="C252" s="3">
        <v>8.2560000000000008E-2</v>
      </c>
      <c r="D252" s="3">
        <v>8.2560000000000008E-2</v>
      </c>
      <c r="E252" s="3">
        <v>8.2560000000000008E-2</v>
      </c>
      <c r="F252" s="3">
        <v>8.2560000000000008E-2</v>
      </c>
      <c r="G252" s="1">
        <v>-4.2999999999999997E-2</v>
      </c>
    </row>
    <row r="253" spans="2:7" x14ac:dyDescent="0.3">
      <c r="B253" s="2">
        <v>33208</v>
      </c>
      <c r="C253" s="3">
        <v>8.0790000000000001E-2</v>
      </c>
      <c r="D253" s="3">
        <v>8.0790000000000001E-2</v>
      </c>
      <c r="E253" s="3">
        <v>8.0790000000000001E-2</v>
      </c>
      <c r="F253" s="3">
        <v>8.0790000000000001E-2</v>
      </c>
      <c r="G253" s="1">
        <v>-2.1399999999999999E-2</v>
      </c>
    </row>
    <row r="254" spans="2:7" x14ac:dyDescent="0.3">
      <c r="B254" s="2">
        <v>33239</v>
      </c>
      <c r="C254" s="3">
        <v>8.0210000000000004E-2</v>
      </c>
      <c r="D254" s="3">
        <v>8.0210000000000004E-2</v>
      </c>
      <c r="E254" s="3">
        <v>8.0210000000000004E-2</v>
      </c>
      <c r="F254" s="3">
        <v>8.0210000000000004E-2</v>
      </c>
      <c r="G254" s="1">
        <v>-7.1999999999999998E-3</v>
      </c>
    </row>
    <row r="255" spans="2:7" x14ac:dyDescent="0.3">
      <c r="B255" s="2">
        <v>33270</v>
      </c>
      <c r="C255" s="3">
        <v>8.0449999999999994E-2</v>
      </c>
      <c r="D255" s="3">
        <v>8.0449999999999994E-2</v>
      </c>
      <c r="E255" s="3">
        <v>8.0449999999999994E-2</v>
      </c>
      <c r="F255" s="3">
        <v>8.0449999999999994E-2</v>
      </c>
      <c r="G255" s="1">
        <v>3.0000000000000001E-3</v>
      </c>
    </row>
    <row r="256" spans="2:7" x14ac:dyDescent="0.3">
      <c r="B256" s="2">
        <v>33298</v>
      </c>
      <c r="C256" s="3">
        <v>8.0640000000000003E-2</v>
      </c>
      <c r="D256" s="3">
        <v>8.0640000000000003E-2</v>
      </c>
      <c r="E256" s="3">
        <v>8.0640000000000003E-2</v>
      </c>
      <c r="F256" s="3">
        <v>8.0640000000000003E-2</v>
      </c>
      <c r="G256" s="1">
        <v>2.3999999999999998E-3</v>
      </c>
    </row>
    <row r="257" spans="2:7" x14ac:dyDescent="0.3">
      <c r="B257" s="2">
        <v>33329</v>
      </c>
      <c r="C257" s="3">
        <v>8.0180000000000001E-2</v>
      </c>
      <c r="D257" s="3">
        <v>8.0180000000000001E-2</v>
      </c>
      <c r="E257" s="3">
        <v>8.0180000000000001E-2</v>
      </c>
      <c r="F257" s="3">
        <v>8.0180000000000001E-2</v>
      </c>
      <c r="G257" s="1">
        <v>-5.7000000000000002E-3</v>
      </c>
    </row>
    <row r="258" spans="2:7" x14ac:dyDescent="0.3">
      <c r="B258" s="2">
        <v>33359</v>
      </c>
      <c r="C258" s="3">
        <v>8.0610000000000001E-2</v>
      </c>
      <c r="D258" s="3">
        <v>8.0610000000000001E-2</v>
      </c>
      <c r="E258" s="3">
        <v>8.0610000000000001E-2</v>
      </c>
      <c r="F258" s="3">
        <v>8.0610000000000001E-2</v>
      </c>
      <c r="G258" s="1">
        <v>5.4000000000000003E-3</v>
      </c>
    </row>
    <row r="259" spans="2:7" x14ac:dyDescent="0.3">
      <c r="B259" s="2">
        <v>33390</v>
      </c>
      <c r="C259" s="3">
        <v>8.231999999999999E-2</v>
      </c>
      <c r="D259" s="3">
        <v>8.231999999999999E-2</v>
      </c>
      <c r="E259" s="3">
        <v>8.231999999999999E-2</v>
      </c>
      <c r="F259" s="3">
        <v>8.231999999999999E-2</v>
      </c>
      <c r="G259" s="1">
        <v>2.12E-2</v>
      </c>
    </row>
    <row r="260" spans="2:7" x14ac:dyDescent="0.3">
      <c r="B260" s="2">
        <v>33420</v>
      </c>
      <c r="C260" s="3">
        <v>8.1570000000000004E-2</v>
      </c>
      <c r="D260" s="3">
        <v>8.1570000000000004E-2</v>
      </c>
      <c r="E260" s="3">
        <v>8.1570000000000004E-2</v>
      </c>
      <c r="F260" s="3">
        <v>8.1570000000000004E-2</v>
      </c>
      <c r="G260" s="1">
        <v>-9.1000000000000004E-3</v>
      </c>
    </row>
    <row r="261" spans="2:7" x14ac:dyDescent="0.3">
      <c r="B261" s="2">
        <v>33451</v>
      </c>
      <c r="C261" s="3">
        <v>7.8140000000000001E-2</v>
      </c>
      <c r="D261" s="3">
        <v>7.8140000000000001E-2</v>
      </c>
      <c r="E261" s="3">
        <v>7.8140000000000001E-2</v>
      </c>
      <c r="F261" s="3">
        <v>7.8140000000000001E-2</v>
      </c>
      <c r="G261" s="1">
        <v>-4.2000000000000003E-2</v>
      </c>
    </row>
    <row r="262" spans="2:7" x14ac:dyDescent="0.3">
      <c r="B262" s="2">
        <v>33482</v>
      </c>
      <c r="C262" s="3">
        <v>7.4520000000000003E-2</v>
      </c>
      <c r="D262" s="3">
        <v>7.4520000000000003E-2</v>
      </c>
      <c r="E262" s="3">
        <v>7.4520000000000003E-2</v>
      </c>
      <c r="F262" s="3">
        <v>7.4520000000000003E-2</v>
      </c>
      <c r="G262" s="1">
        <v>-4.6300000000000001E-2</v>
      </c>
    </row>
    <row r="263" spans="2:7" x14ac:dyDescent="0.3">
      <c r="B263" s="2">
        <v>33512</v>
      </c>
      <c r="C263" s="3">
        <v>7.4219999999999994E-2</v>
      </c>
      <c r="D263" s="3">
        <v>7.4219999999999994E-2</v>
      </c>
      <c r="E263" s="3">
        <v>7.4219999999999994E-2</v>
      </c>
      <c r="F263" s="3">
        <v>7.4219999999999994E-2</v>
      </c>
      <c r="G263" s="1">
        <v>-4.0000000000000001E-3</v>
      </c>
    </row>
    <row r="264" spans="2:7" x14ac:dyDescent="0.3">
      <c r="B264" s="2">
        <v>33543</v>
      </c>
      <c r="C264" s="3">
        <v>7.374E-2</v>
      </c>
      <c r="D264" s="3">
        <v>7.374E-2</v>
      </c>
      <c r="E264" s="3">
        <v>7.374E-2</v>
      </c>
      <c r="F264" s="3">
        <v>7.374E-2</v>
      </c>
      <c r="G264" s="1">
        <v>-6.4999999999999997E-3</v>
      </c>
    </row>
    <row r="265" spans="2:7" x14ac:dyDescent="0.3">
      <c r="B265" s="2">
        <v>33573</v>
      </c>
      <c r="C265" s="3">
        <v>6.6989999999999994E-2</v>
      </c>
      <c r="D265" s="3">
        <v>6.6989999999999994E-2</v>
      </c>
      <c r="E265" s="3">
        <v>6.6989999999999994E-2</v>
      </c>
      <c r="F265" s="3">
        <v>6.6989999999999994E-2</v>
      </c>
      <c r="G265" s="1">
        <v>-9.1499999999999998E-2</v>
      </c>
    </row>
    <row r="266" spans="2:7" x14ac:dyDescent="0.3">
      <c r="B266" s="2">
        <v>33604</v>
      </c>
      <c r="C266" s="3">
        <v>7.2759999999999991E-2</v>
      </c>
      <c r="D266" s="3">
        <v>7.2759999999999991E-2</v>
      </c>
      <c r="E266" s="3">
        <v>7.2759999999999991E-2</v>
      </c>
      <c r="F266" s="3">
        <v>7.2759999999999991E-2</v>
      </c>
      <c r="G266" s="1">
        <v>8.6099999999999996E-2</v>
      </c>
    </row>
    <row r="267" spans="2:7" x14ac:dyDescent="0.3">
      <c r="B267" s="2">
        <v>33635</v>
      </c>
      <c r="C267" s="3">
        <v>7.2520000000000001E-2</v>
      </c>
      <c r="D267" s="3">
        <v>7.2520000000000001E-2</v>
      </c>
      <c r="E267" s="3">
        <v>7.2520000000000001E-2</v>
      </c>
      <c r="F267" s="3">
        <v>7.2520000000000001E-2</v>
      </c>
      <c r="G267" s="1">
        <v>-3.3E-3</v>
      </c>
    </row>
    <row r="268" spans="2:7" x14ac:dyDescent="0.3">
      <c r="B268" s="2">
        <v>33664</v>
      </c>
      <c r="C268" s="3">
        <v>7.5300000000000006E-2</v>
      </c>
      <c r="D268" s="3">
        <v>7.5300000000000006E-2</v>
      </c>
      <c r="E268" s="3">
        <v>7.5300000000000006E-2</v>
      </c>
      <c r="F268" s="3">
        <v>7.5300000000000006E-2</v>
      </c>
      <c r="G268" s="1">
        <v>3.8300000000000001E-2</v>
      </c>
    </row>
    <row r="269" spans="2:7" x14ac:dyDescent="0.3">
      <c r="B269" s="2">
        <v>33695</v>
      </c>
      <c r="C269" s="3">
        <v>7.5830000000000009E-2</v>
      </c>
      <c r="D269" s="3">
        <v>7.5830000000000009E-2</v>
      </c>
      <c r="E269" s="3">
        <v>7.5830000000000009E-2</v>
      </c>
      <c r="F269" s="3">
        <v>7.5830000000000009E-2</v>
      </c>
      <c r="G269" s="1">
        <v>7.0000000000000001E-3</v>
      </c>
    </row>
    <row r="270" spans="2:7" x14ac:dyDescent="0.3">
      <c r="B270" s="2">
        <v>33725</v>
      </c>
      <c r="C270" s="3">
        <v>7.3220000000000007E-2</v>
      </c>
      <c r="D270" s="3">
        <v>7.3220000000000007E-2</v>
      </c>
      <c r="E270" s="3">
        <v>7.3220000000000007E-2</v>
      </c>
      <c r="F270" s="3">
        <v>7.3220000000000007E-2</v>
      </c>
      <c r="G270" s="1">
        <v>-3.44E-2</v>
      </c>
    </row>
    <row r="271" spans="2:7" x14ac:dyDescent="0.3">
      <c r="B271" s="2">
        <v>33756</v>
      </c>
      <c r="C271" s="3">
        <v>7.1230000000000002E-2</v>
      </c>
      <c r="D271" s="3">
        <v>7.1230000000000002E-2</v>
      </c>
      <c r="E271" s="3">
        <v>7.1230000000000002E-2</v>
      </c>
      <c r="F271" s="3">
        <v>7.1230000000000002E-2</v>
      </c>
      <c r="G271" s="1">
        <v>-2.7199999999999998E-2</v>
      </c>
    </row>
    <row r="272" spans="2:7" x14ac:dyDescent="0.3">
      <c r="B272" s="2">
        <v>33786</v>
      </c>
      <c r="C272" s="3">
        <v>6.6959999999999992E-2</v>
      </c>
      <c r="D272" s="3">
        <v>6.6959999999999992E-2</v>
      </c>
      <c r="E272" s="3">
        <v>6.6959999999999992E-2</v>
      </c>
      <c r="F272" s="3">
        <v>6.6959999999999992E-2</v>
      </c>
      <c r="G272" s="1">
        <v>-5.9900000000000002E-2</v>
      </c>
    </row>
    <row r="273" spans="2:7" x14ac:dyDescent="0.3">
      <c r="B273" s="2">
        <v>33817</v>
      </c>
      <c r="C273" s="3">
        <v>6.6040000000000001E-2</v>
      </c>
      <c r="D273" s="3">
        <v>6.6040000000000001E-2</v>
      </c>
      <c r="E273" s="3">
        <v>6.6040000000000001E-2</v>
      </c>
      <c r="F273" s="3">
        <v>6.6040000000000001E-2</v>
      </c>
      <c r="G273" s="1">
        <v>-1.37E-2</v>
      </c>
    </row>
    <row r="274" spans="2:7" x14ac:dyDescent="0.3">
      <c r="B274" s="2">
        <v>33848</v>
      </c>
      <c r="C274" s="3">
        <v>6.3539999999999999E-2</v>
      </c>
      <c r="D274" s="3">
        <v>6.3539999999999999E-2</v>
      </c>
      <c r="E274" s="3">
        <v>6.3539999999999999E-2</v>
      </c>
      <c r="F274" s="3">
        <v>6.3539999999999999E-2</v>
      </c>
      <c r="G274" s="1">
        <v>-3.7900000000000003E-2</v>
      </c>
    </row>
    <row r="275" spans="2:7" x14ac:dyDescent="0.3">
      <c r="B275" s="2">
        <v>33878</v>
      </c>
      <c r="C275" s="3">
        <v>6.7889999999999992E-2</v>
      </c>
      <c r="D275" s="3">
        <v>6.7889999999999992E-2</v>
      </c>
      <c r="E275" s="3">
        <v>6.7889999999999992E-2</v>
      </c>
      <c r="F275" s="3">
        <v>6.7889999999999992E-2</v>
      </c>
      <c r="G275" s="1">
        <v>6.8500000000000005E-2</v>
      </c>
    </row>
    <row r="276" spans="2:7" x14ac:dyDescent="0.3">
      <c r="B276" s="2">
        <v>33909</v>
      </c>
      <c r="C276" s="3">
        <v>6.9279999999999994E-2</v>
      </c>
      <c r="D276" s="3">
        <v>6.9279999999999994E-2</v>
      </c>
      <c r="E276" s="3">
        <v>6.9279999999999994E-2</v>
      </c>
      <c r="F276" s="3">
        <v>6.9279999999999994E-2</v>
      </c>
      <c r="G276" s="1">
        <v>2.0500000000000001E-2</v>
      </c>
    </row>
    <row r="277" spans="2:7" x14ac:dyDescent="0.3">
      <c r="B277" s="2">
        <v>33939</v>
      </c>
      <c r="C277" s="3">
        <v>6.6900000000000001E-2</v>
      </c>
      <c r="D277" s="3">
        <v>6.6900000000000001E-2</v>
      </c>
      <c r="E277" s="3">
        <v>6.6900000000000001E-2</v>
      </c>
      <c r="F277" s="3">
        <v>6.6900000000000001E-2</v>
      </c>
      <c r="G277" s="1">
        <v>-3.44E-2</v>
      </c>
    </row>
    <row r="278" spans="2:7" x14ac:dyDescent="0.3">
      <c r="B278" s="2">
        <v>33970</v>
      </c>
      <c r="C278" s="3">
        <v>6.361E-2</v>
      </c>
      <c r="D278" s="3">
        <v>6.361E-2</v>
      </c>
      <c r="E278" s="3">
        <v>6.361E-2</v>
      </c>
      <c r="F278" s="3">
        <v>6.361E-2</v>
      </c>
      <c r="G278" s="1">
        <v>-4.9200000000000001E-2</v>
      </c>
    </row>
    <row r="279" spans="2:7" x14ac:dyDescent="0.3">
      <c r="B279" s="2">
        <v>34001</v>
      </c>
      <c r="C279" s="3">
        <v>6.0129999999999996E-2</v>
      </c>
      <c r="D279" s="3">
        <v>6.0129999999999996E-2</v>
      </c>
      <c r="E279" s="3">
        <v>6.0129999999999996E-2</v>
      </c>
      <c r="F279" s="3">
        <v>6.0129999999999996E-2</v>
      </c>
      <c r="G279" s="1">
        <v>-5.4699999999999999E-2</v>
      </c>
    </row>
    <row r="280" spans="2:7" x14ac:dyDescent="0.3">
      <c r="B280" s="2">
        <v>34029</v>
      </c>
      <c r="C280" s="3">
        <v>6.0240000000000002E-2</v>
      </c>
      <c r="D280" s="3">
        <v>6.0240000000000002E-2</v>
      </c>
      <c r="E280" s="3">
        <v>6.0240000000000002E-2</v>
      </c>
      <c r="F280" s="3">
        <v>6.0240000000000002E-2</v>
      </c>
      <c r="G280" s="1">
        <v>1.8E-3</v>
      </c>
    </row>
    <row r="281" spans="2:7" x14ac:dyDescent="0.3">
      <c r="B281" s="2">
        <v>34060</v>
      </c>
      <c r="C281" s="3">
        <v>6.0090000000000005E-2</v>
      </c>
      <c r="D281" s="3">
        <v>6.0090000000000005E-2</v>
      </c>
      <c r="E281" s="3">
        <v>6.0090000000000005E-2</v>
      </c>
      <c r="F281" s="3">
        <v>6.0090000000000005E-2</v>
      </c>
      <c r="G281" s="1">
        <v>-2.5000000000000001E-3</v>
      </c>
    </row>
    <row r="282" spans="2:7" x14ac:dyDescent="0.3">
      <c r="B282" s="2">
        <v>34090</v>
      </c>
      <c r="C282" s="3">
        <v>6.1100000000000002E-2</v>
      </c>
      <c r="D282" s="3">
        <v>6.1100000000000002E-2</v>
      </c>
      <c r="E282" s="3">
        <v>6.1100000000000002E-2</v>
      </c>
      <c r="F282" s="3">
        <v>6.1100000000000002E-2</v>
      </c>
      <c r="G282" s="1">
        <v>1.6799999999999999E-2</v>
      </c>
    </row>
    <row r="283" spans="2:7" x14ac:dyDescent="0.3">
      <c r="B283" s="2">
        <v>34121</v>
      </c>
      <c r="C283" s="3">
        <v>5.7779999999999998E-2</v>
      </c>
      <c r="D283" s="3">
        <v>5.7779999999999998E-2</v>
      </c>
      <c r="E283" s="3">
        <v>5.7779999999999998E-2</v>
      </c>
      <c r="F283" s="3">
        <v>5.7779999999999998E-2</v>
      </c>
      <c r="G283" s="1">
        <v>-5.4300000000000001E-2</v>
      </c>
    </row>
    <row r="284" spans="2:7" x14ac:dyDescent="0.3">
      <c r="B284" s="2">
        <v>34151</v>
      </c>
      <c r="C284" s="3">
        <v>5.8090000000000003E-2</v>
      </c>
      <c r="D284" s="3">
        <v>5.8090000000000003E-2</v>
      </c>
      <c r="E284" s="3">
        <v>5.8090000000000003E-2</v>
      </c>
      <c r="F284" s="3">
        <v>5.8090000000000003E-2</v>
      </c>
      <c r="G284" s="1">
        <v>5.4000000000000003E-3</v>
      </c>
    </row>
    <row r="285" spans="2:7" x14ac:dyDescent="0.3">
      <c r="B285" s="2">
        <v>34182</v>
      </c>
      <c r="C285" s="3">
        <v>5.4459999999999995E-2</v>
      </c>
      <c r="D285" s="3">
        <v>5.4459999999999995E-2</v>
      </c>
      <c r="E285" s="3">
        <v>5.4459999999999995E-2</v>
      </c>
      <c r="F285" s="3">
        <v>5.4459999999999995E-2</v>
      </c>
      <c r="G285" s="1">
        <v>-6.25E-2</v>
      </c>
    </row>
    <row r="286" spans="2:7" x14ac:dyDescent="0.3">
      <c r="B286" s="2">
        <v>34213</v>
      </c>
      <c r="C286" s="3">
        <v>5.3739999999999996E-2</v>
      </c>
      <c r="D286" s="3">
        <v>5.3739999999999996E-2</v>
      </c>
      <c r="E286" s="3">
        <v>5.3739999999999996E-2</v>
      </c>
      <c r="F286" s="3">
        <v>5.3739999999999996E-2</v>
      </c>
      <c r="G286" s="1">
        <v>-1.32E-2</v>
      </c>
    </row>
    <row r="287" spans="2:7" x14ac:dyDescent="0.3">
      <c r="B287" s="2">
        <v>34243</v>
      </c>
      <c r="C287" s="3">
        <v>5.4199999999999998E-2</v>
      </c>
      <c r="D287" s="3">
        <v>5.4199999999999998E-2</v>
      </c>
      <c r="E287" s="3">
        <v>5.4199999999999998E-2</v>
      </c>
      <c r="F287" s="3">
        <v>5.4199999999999998E-2</v>
      </c>
      <c r="G287" s="1">
        <v>8.6E-3</v>
      </c>
    </row>
    <row r="288" spans="2:7" x14ac:dyDescent="0.3">
      <c r="B288" s="2">
        <v>34274</v>
      </c>
      <c r="C288" s="3">
        <v>5.8169999999999999E-2</v>
      </c>
      <c r="D288" s="3">
        <v>5.8169999999999999E-2</v>
      </c>
      <c r="E288" s="3">
        <v>5.8169999999999999E-2</v>
      </c>
      <c r="F288" s="3">
        <v>5.8169999999999999E-2</v>
      </c>
      <c r="G288" s="1">
        <v>7.3200000000000001E-2</v>
      </c>
    </row>
    <row r="289" spans="2:7" x14ac:dyDescent="0.3">
      <c r="B289" s="2">
        <v>34304</v>
      </c>
      <c r="C289" s="3">
        <v>5.7869999999999998E-2</v>
      </c>
      <c r="D289" s="3">
        <v>5.7869999999999998E-2</v>
      </c>
      <c r="E289" s="3">
        <v>5.7869999999999998E-2</v>
      </c>
      <c r="F289" s="3">
        <v>5.7869999999999998E-2</v>
      </c>
      <c r="G289" s="1">
        <v>-5.1999999999999998E-3</v>
      </c>
    </row>
    <row r="290" spans="2:7" x14ac:dyDescent="0.3">
      <c r="B290" s="2">
        <v>34335</v>
      </c>
      <c r="C290" s="3">
        <v>5.6449999999999993E-2</v>
      </c>
      <c r="D290" s="3">
        <v>5.6449999999999993E-2</v>
      </c>
      <c r="E290" s="3">
        <v>5.6449999999999993E-2</v>
      </c>
      <c r="F290" s="3">
        <v>5.6449999999999993E-2</v>
      </c>
      <c r="G290" s="1">
        <v>-2.4500000000000001E-2</v>
      </c>
    </row>
    <row r="291" spans="2:7" x14ac:dyDescent="0.3">
      <c r="B291" s="2">
        <v>34366</v>
      </c>
      <c r="C291" s="3">
        <v>6.1330000000000003E-2</v>
      </c>
      <c r="D291" s="3">
        <v>6.1330000000000003E-2</v>
      </c>
      <c r="E291" s="3">
        <v>6.1330000000000003E-2</v>
      </c>
      <c r="F291" s="3">
        <v>6.1330000000000003E-2</v>
      </c>
      <c r="G291" s="1">
        <v>8.6400000000000005E-2</v>
      </c>
    </row>
    <row r="292" spans="2:7" x14ac:dyDescent="0.3">
      <c r="B292" s="2">
        <v>34394</v>
      </c>
      <c r="C292" s="3">
        <v>6.7380000000000009E-2</v>
      </c>
      <c r="D292" s="3">
        <v>6.7380000000000009E-2</v>
      </c>
      <c r="E292" s="3">
        <v>6.7380000000000009E-2</v>
      </c>
      <c r="F292" s="3">
        <v>6.7380000000000009E-2</v>
      </c>
      <c r="G292" s="1">
        <v>9.8599999999999993E-2</v>
      </c>
    </row>
    <row r="293" spans="2:7" x14ac:dyDescent="0.3">
      <c r="B293" s="2">
        <v>34425</v>
      </c>
      <c r="C293" s="3">
        <v>7.041E-2</v>
      </c>
      <c r="D293" s="3">
        <v>7.041E-2</v>
      </c>
      <c r="E293" s="3">
        <v>7.041E-2</v>
      </c>
      <c r="F293" s="3">
        <v>7.041E-2</v>
      </c>
      <c r="G293" s="1">
        <v>4.4999999999999998E-2</v>
      </c>
    </row>
    <row r="294" spans="2:7" x14ac:dyDescent="0.3">
      <c r="B294" s="2">
        <v>34455</v>
      </c>
      <c r="C294" s="3">
        <v>7.152E-2</v>
      </c>
      <c r="D294" s="3">
        <v>7.152E-2</v>
      </c>
      <c r="E294" s="3">
        <v>7.152E-2</v>
      </c>
      <c r="F294" s="3">
        <v>7.152E-2</v>
      </c>
      <c r="G294" s="1">
        <v>1.5800000000000002E-2</v>
      </c>
    </row>
    <row r="295" spans="2:7" x14ac:dyDescent="0.3">
      <c r="B295" s="2">
        <v>34486</v>
      </c>
      <c r="C295" s="3">
        <v>7.3249999999999996E-2</v>
      </c>
      <c r="D295" s="3">
        <v>7.3249999999999996E-2</v>
      </c>
      <c r="E295" s="3">
        <v>7.3249999999999996E-2</v>
      </c>
      <c r="F295" s="3">
        <v>7.3249999999999996E-2</v>
      </c>
      <c r="G295" s="1">
        <v>2.4199999999999999E-2</v>
      </c>
    </row>
    <row r="296" spans="2:7" x14ac:dyDescent="0.3">
      <c r="B296" s="2">
        <v>34516</v>
      </c>
      <c r="C296" s="3">
        <v>7.1129999999999999E-2</v>
      </c>
      <c r="D296" s="3">
        <v>7.1129999999999999E-2</v>
      </c>
      <c r="E296" s="3">
        <v>7.1129999999999999E-2</v>
      </c>
      <c r="F296" s="3">
        <v>7.1129999999999999E-2</v>
      </c>
      <c r="G296" s="1">
        <v>-2.8899999999999999E-2</v>
      </c>
    </row>
    <row r="297" spans="2:7" x14ac:dyDescent="0.3">
      <c r="B297" s="2">
        <v>34547</v>
      </c>
      <c r="C297" s="3">
        <v>7.1779999999999997E-2</v>
      </c>
      <c r="D297" s="3">
        <v>7.1779999999999997E-2</v>
      </c>
      <c r="E297" s="3">
        <v>7.1779999999999997E-2</v>
      </c>
      <c r="F297" s="3">
        <v>7.1779999999999997E-2</v>
      </c>
      <c r="G297" s="1">
        <v>9.1000000000000004E-3</v>
      </c>
    </row>
    <row r="298" spans="2:7" x14ac:dyDescent="0.3">
      <c r="B298" s="2">
        <v>34578</v>
      </c>
      <c r="C298" s="3">
        <v>7.6079999999999995E-2</v>
      </c>
      <c r="D298" s="3">
        <v>7.6079999999999995E-2</v>
      </c>
      <c r="E298" s="3">
        <v>7.6079999999999995E-2</v>
      </c>
      <c r="F298" s="3">
        <v>7.6079999999999995E-2</v>
      </c>
      <c r="G298" s="1">
        <v>5.9900000000000002E-2</v>
      </c>
    </row>
    <row r="299" spans="2:7" x14ac:dyDescent="0.3">
      <c r="B299" s="2">
        <v>34608</v>
      </c>
      <c r="C299" s="3">
        <v>7.8120000000000009E-2</v>
      </c>
      <c r="D299" s="3">
        <v>7.8120000000000009E-2</v>
      </c>
      <c r="E299" s="3">
        <v>7.8120000000000009E-2</v>
      </c>
      <c r="F299" s="3">
        <v>7.8120000000000009E-2</v>
      </c>
      <c r="G299" s="1">
        <v>2.6800000000000001E-2</v>
      </c>
    </row>
    <row r="300" spans="2:7" x14ac:dyDescent="0.3">
      <c r="B300" s="2">
        <v>34639</v>
      </c>
      <c r="C300" s="3">
        <v>7.9059999999999991E-2</v>
      </c>
      <c r="D300" s="3">
        <v>7.9059999999999991E-2</v>
      </c>
      <c r="E300" s="3">
        <v>7.9059999999999991E-2</v>
      </c>
      <c r="F300" s="3">
        <v>7.9059999999999991E-2</v>
      </c>
      <c r="G300" s="1">
        <v>1.2E-2</v>
      </c>
    </row>
    <row r="301" spans="2:7" x14ac:dyDescent="0.3">
      <c r="B301" s="2">
        <v>34669</v>
      </c>
      <c r="C301" s="3">
        <v>7.8310000000000005E-2</v>
      </c>
      <c r="D301" s="3">
        <v>7.8310000000000005E-2</v>
      </c>
      <c r="E301" s="3">
        <v>7.8310000000000005E-2</v>
      </c>
      <c r="F301" s="3">
        <v>7.8310000000000005E-2</v>
      </c>
      <c r="G301" s="1">
        <v>-9.4999999999999998E-3</v>
      </c>
    </row>
    <row r="302" spans="2:7" x14ac:dyDescent="0.3">
      <c r="B302" s="2">
        <v>34700</v>
      </c>
      <c r="C302" s="3">
        <v>7.5789999999999996E-2</v>
      </c>
      <c r="D302" s="3">
        <v>7.5789999999999996E-2</v>
      </c>
      <c r="E302" s="3">
        <v>7.5789999999999996E-2</v>
      </c>
      <c r="F302" s="3">
        <v>7.5789999999999996E-2</v>
      </c>
      <c r="G302" s="1">
        <v>-3.2199999999999999E-2</v>
      </c>
    </row>
    <row r="303" spans="2:7" x14ac:dyDescent="0.3">
      <c r="B303" s="2">
        <v>34731</v>
      </c>
      <c r="C303" s="3">
        <v>7.2050000000000003E-2</v>
      </c>
      <c r="D303" s="3">
        <v>7.2050000000000003E-2</v>
      </c>
      <c r="E303" s="3">
        <v>7.2050000000000003E-2</v>
      </c>
      <c r="F303" s="3">
        <v>7.2050000000000003E-2</v>
      </c>
      <c r="G303" s="1">
        <v>-4.9299999999999997E-2</v>
      </c>
    </row>
    <row r="304" spans="2:7" x14ac:dyDescent="0.3">
      <c r="B304" s="2">
        <v>34759</v>
      </c>
      <c r="C304" s="3">
        <v>7.1980000000000002E-2</v>
      </c>
      <c r="D304" s="3">
        <v>7.1980000000000002E-2</v>
      </c>
      <c r="E304" s="3">
        <v>7.1980000000000002E-2</v>
      </c>
      <c r="F304" s="3">
        <v>7.1980000000000002E-2</v>
      </c>
      <c r="G304" s="1">
        <v>-1E-3</v>
      </c>
    </row>
    <row r="305" spans="2:7" x14ac:dyDescent="0.3">
      <c r="B305" s="2">
        <v>34790</v>
      </c>
      <c r="C305" s="3">
        <v>7.0550000000000002E-2</v>
      </c>
      <c r="D305" s="3">
        <v>7.0550000000000002E-2</v>
      </c>
      <c r="E305" s="3">
        <v>7.0550000000000002E-2</v>
      </c>
      <c r="F305" s="3">
        <v>7.0550000000000002E-2</v>
      </c>
      <c r="G305" s="1">
        <v>-1.9900000000000001E-2</v>
      </c>
    </row>
    <row r="306" spans="2:7" x14ac:dyDescent="0.3">
      <c r="B306" s="2">
        <v>34820</v>
      </c>
      <c r="C306" s="3">
        <v>6.2859999999999999E-2</v>
      </c>
      <c r="D306" s="3">
        <v>6.2859999999999999E-2</v>
      </c>
      <c r="E306" s="3">
        <v>6.2859999999999999E-2</v>
      </c>
      <c r="F306" s="3">
        <v>6.2859999999999999E-2</v>
      </c>
      <c r="G306" s="1">
        <v>-0.109</v>
      </c>
    </row>
    <row r="307" spans="2:7" x14ac:dyDescent="0.3">
      <c r="B307" s="2">
        <v>34851</v>
      </c>
      <c r="C307" s="3">
        <v>6.207E-2</v>
      </c>
      <c r="D307" s="3">
        <v>6.207E-2</v>
      </c>
      <c r="E307" s="3">
        <v>6.207E-2</v>
      </c>
      <c r="F307" s="3">
        <v>6.207E-2</v>
      </c>
      <c r="G307" s="1">
        <v>-1.26E-2</v>
      </c>
    </row>
    <row r="308" spans="2:7" x14ac:dyDescent="0.3">
      <c r="B308" s="2">
        <v>34881</v>
      </c>
      <c r="C308" s="3">
        <v>6.4240000000000005E-2</v>
      </c>
      <c r="D308" s="3">
        <v>6.4240000000000005E-2</v>
      </c>
      <c r="E308" s="3">
        <v>6.4240000000000005E-2</v>
      </c>
      <c r="F308" s="3">
        <v>6.4240000000000005E-2</v>
      </c>
      <c r="G308" s="1">
        <v>3.5000000000000003E-2</v>
      </c>
    </row>
    <row r="309" spans="2:7" x14ac:dyDescent="0.3">
      <c r="B309" s="2">
        <v>34912</v>
      </c>
      <c r="C309" s="3">
        <v>6.2859999999999999E-2</v>
      </c>
      <c r="D309" s="3">
        <v>6.2859999999999999E-2</v>
      </c>
      <c r="E309" s="3">
        <v>6.2859999999999999E-2</v>
      </c>
      <c r="F309" s="3">
        <v>6.2859999999999999E-2</v>
      </c>
      <c r="G309" s="1">
        <v>-2.1499999999999998E-2</v>
      </c>
    </row>
    <row r="310" spans="2:7" x14ac:dyDescent="0.3">
      <c r="B310" s="2">
        <v>34943</v>
      </c>
      <c r="C310" s="3">
        <v>6.1820000000000007E-2</v>
      </c>
      <c r="D310" s="3">
        <v>6.1820000000000007E-2</v>
      </c>
      <c r="E310" s="3">
        <v>6.1820000000000007E-2</v>
      </c>
      <c r="F310" s="3">
        <v>6.1820000000000007E-2</v>
      </c>
      <c r="G310" s="1">
        <v>-1.6500000000000001E-2</v>
      </c>
    </row>
    <row r="311" spans="2:7" x14ac:dyDescent="0.3">
      <c r="B311" s="2">
        <v>34973</v>
      </c>
      <c r="C311" s="3">
        <v>6.0240000000000002E-2</v>
      </c>
      <c r="D311" s="3">
        <v>6.0240000000000002E-2</v>
      </c>
      <c r="E311" s="3">
        <v>6.0240000000000002E-2</v>
      </c>
      <c r="F311" s="3">
        <v>6.0240000000000002E-2</v>
      </c>
      <c r="G311" s="1">
        <v>-2.5600000000000001E-2</v>
      </c>
    </row>
    <row r="312" spans="2:7" x14ac:dyDescent="0.3">
      <c r="B312" s="2">
        <v>35004</v>
      </c>
      <c r="C312" s="3">
        <v>5.7450000000000001E-2</v>
      </c>
      <c r="D312" s="3">
        <v>5.7450000000000001E-2</v>
      </c>
      <c r="E312" s="3">
        <v>5.7450000000000001E-2</v>
      </c>
      <c r="F312" s="3">
        <v>5.7450000000000001E-2</v>
      </c>
      <c r="G312" s="1">
        <v>-4.6300000000000001E-2</v>
      </c>
    </row>
    <row r="313" spans="2:7" x14ac:dyDescent="0.3">
      <c r="B313" s="2">
        <v>35034</v>
      </c>
      <c r="C313" s="3">
        <v>5.5750000000000001E-2</v>
      </c>
      <c r="D313" s="3">
        <v>5.5750000000000001E-2</v>
      </c>
      <c r="E313" s="3">
        <v>5.5750000000000001E-2</v>
      </c>
      <c r="F313" s="3">
        <v>5.5750000000000001E-2</v>
      </c>
      <c r="G313" s="1">
        <v>-2.9600000000000001E-2</v>
      </c>
    </row>
    <row r="314" spans="2:7" x14ac:dyDescent="0.3">
      <c r="B314" s="2">
        <v>35065</v>
      </c>
      <c r="C314" s="3">
        <v>5.5759999999999997E-2</v>
      </c>
      <c r="D314" s="3">
        <v>5.5759999999999997E-2</v>
      </c>
      <c r="E314" s="3">
        <v>5.5759999999999997E-2</v>
      </c>
      <c r="F314" s="3">
        <v>5.5759999999999997E-2</v>
      </c>
      <c r="G314" s="1">
        <v>2.0000000000000001E-4</v>
      </c>
    </row>
    <row r="315" spans="2:7" x14ac:dyDescent="0.3">
      <c r="B315" s="2">
        <v>35096</v>
      </c>
      <c r="C315" s="3">
        <v>6.1030000000000001E-2</v>
      </c>
      <c r="D315" s="3">
        <v>6.1030000000000001E-2</v>
      </c>
      <c r="E315" s="3">
        <v>6.1030000000000001E-2</v>
      </c>
      <c r="F315" s="3">
        <v>6.1030000000000001E-2</v>
      </c>
      <c r="G315" s="1">
        <v>9.4500000000000001E-2</v>
      </c>
    </row>
    <row r="316" spans="2:7" x14ac:dyDescent="0.3">
      <c r="B316" s="2">
        <v>35125</v>
      </c>
      <c r="C316" s="3">
        <v>6.3339999999999994E-2</v>
      </c>
      <c r="D316" s="3">
        <v>6.3339999999999994E-2</v>
      </c>
      <c r="E316" s="3">
        <v>6.3339999999999994E-2</v>
      </c>
      <c r="F316" s="3">
        <v>6.3339999999999994E-2</v>
      </c>
      <c r="G316" s="1">
        <v>3.7900000000000003E-2</v>
      </c>
    </row>
    <row r="317" spans="2:7" x14ac:dyDescent="0.3">
      <c r="B317" s="2">
        <v>35156</v>
      </c>
      <c r="C317" s="3">
        <v>6.6790000000000002E-2</v>
      </c>
      <c r="D317" s="3">
        <v>6.6790000000000002E-2</v>
      </c>
      <c r="E317" s="3">
        <v>6.6790000000000002E-2</v>
      </c>
      <c r="F317" s="3">
        <v>6.6790000000000002E-2</v>
      </c>
      <c r="G317" s="1">
        <v>5.45E-2</v>
      </c>
    </row>
    <row r="318" spans="2:7" x14ac:dyDescent="0.3">
      <c r="B318" s="2">
        <v>35186</v>
      </c>
      <c r="C318" s="3">
        <v>6.8479999999999999E-2</v>
      </c>
      <c r="D318" s="3">
        <v>6.8479999999999999E-2</v>
      </c>
      <c r="E318" s="3">
        <v>6.8479999999999999E-2</v>
      </c>
      <c r="F318" s="3">
        <v>6.8479999999999999E-2</v>
      </c>
      <c r="G318" s="1">
        <v>2.53E-2</v>
      </c>
    </row>
    <row r="319" spans="2:7" x14ac:dyDescent="0.3">
      <c r="B319" s="2">
        <v>35217</v>
      </c>
      <c r="C319" s="3">
        <v>6.7159999999999997E-2</v>
      </c>
      <c r="D319" s="3">
        <v>6.7159999999999997E-2</v>
      </c>
      <c r="E319" s="3">
        <v>6.7159999999999997E-2</v>
      </c>
      <c r="F319" s="3">
        <v>6.7159999999999997E-2</v>
      </c>
      <c r="G319" s="1">
        <v>-1.9300000000000001E-2</v>
      </c>
    </row>
    <row r="320" spans="2:7" x14ac:dyDescent="0.3">
      <c r="B320" s="2">
        <v>35247</v>
      </c>
      <c r="C320" s="3">
        <v>6.7979999999999999E-2</v>
      </c>
      <c r="D320" s="3">
        <v>6.7979999999999999E-2</v>
      </c>
      <c r="E320" s="3">
        <v>6.7979999999999999E-2</v>
      </c>
      <c r="F320" s="3">
        <v>6.7979999999999999E-2</v>
      </c>
      <c r="G320" s="1">
        <v>1.2200000000000001E-2</v>
      </c>
    </row>
    <row r="321" spans="2:7" x14ac:dyDescent="0.3">
      <c r="B321" s="2">
        <v>35278</v>
      </c>
      <c r="C321" s="3">
        <v>6.9449999999999998E-2</v>
      </c>
      <c r="D321" s="3">
        <v>6.9449999999999998E-2</v>
      </c>
      <c r="E321" s="3">
        <v>6.9449999999999998E-2</v>
      </c>
      <c r="F321" s="3">
        <v>6.9449999999999998E-2</v>
      </c>
      <c r="G321" s="1">
        <v>2.1600000000000001E-2</v>
      </c>
    </row>
    <row r="322" spans="2:7" x14ac:dyDescent="0.3">
      <c r="B322" s="2">
        <v>35309</v>
      </c>
      <c r="C322" s="3">
        <v>6.7030000000000006E-2</v>
      </c>
      <c r="D322" s="3">
        <v>6.7030000000000006E-2</v>
      </c>
      <c r="E322" s="3">
        <v>6.7030000000000006E-2</v>
      </c>
      <c r="F322" s="3">
        <v>6.7030000000000006E-2</v>
      </c>
      <c r="G322" s="1">
        <v>-3.4799999999999998E-2</v>
      </c>
    </row>
    <row r="323" spans="2:7" x14ac:dyDescent="0.3">
      <c r="B323" s="2">
        <v>35339</v>
      </c>
      <c r="C323" s="3">
        <v>6.3410000000000008E-2</v>
      </c>
      <c r="D323" s="3">
        <v>6.3410000000000008E-2</v>
      </c>
      <c r="E323" s="3">
        <v>6.3410000000000008E-2</v>
      </c>
      <c r="F323" s="3">
        <v>6.3410000000000008E-2</v>
      </c>
      <c r="G323" s="1">
        <v>-5.3999999999999999E-2</v>
      </c>
    </row>
    <row r="324" spans="2:7" x14ac:dyDescent="0.3">
      <c r="B324" s="2">
        <v>35370</v>
      </c>
      <c r="C324" s="3">
        <v>6.0479999999999999E-2</v>
      </c>
      <c r="D324" s="3">
        <v>6.0479999999999999E-2</v>
      </c>
      <c r="E324" s="3">
        <v>6.0479999999999999E-2</v>
      </c>
      <c r="F324" s="3">
        <v>6.0479999999999999E-2</v>
      </c>
      <c r="G324" s="1">
        <v>-4.6199999999999998E-2</v>
      </c>
    </row>
    <row r="325" spans="2:7" x14ac:dyDescent="0.3">
      <c r="B325" s="2">
        <v>35400</v>
      </c>
      <c r="C325" s="3">
        <v>6.429E-2</v>
      </c>
      <c r="D325" s="3">
        <v>6.429E-2</v>
      </c>
      <c r="E325" s="3">
        <v>6.429E-2</v>
      </c>
      <c r="F325" s="3">
        <v>6.429E-2</v>
      </c>
      <c r="G325" s="1">
        <v>6.3E-2</v>
      </c>
    </row>
    <row r="326" spans="2:7" x14ac:dyDescent="0.3">
      <c r="B326" s="2">
        <v>35431</v>
      </c>
      <c r="C326" s="3">
        <v>6.5030000000000004E-2</v>
      </c>
      <c r="D326" s="3">
        <v>6.5030000000000004E-2</v>
      </c>
      <c r="E326" s="3">
        <v>6.5030000000000004E-2</v>
      </c>
      <c r="F326" s="3">
        <v>6.5030000000000004E-2</v>
      </c>
      <c r="G326" s="1">
        <v>1.15E-2</v>
      </c>
    </row>
    <row r="327" spans="2:7" x14ac:dyDescent="0.3">
      <c r="B327" s="2">
        <v>35462</v>
      </c>
      <c r="C327" s="3">
        <v>6.5560000000000007E-2</v>
      </c>
      <c r="D327" s="3">
        <v>6.5560000000000007E-2</v>
      </c>
      <c r="E327" s="3">
        <v>6.5560000000000007E-2</v>
      </c>
      <c r="F327" s="3">
        <v>6.5560000000000007E-2</v>
      </c>
      <c r="G327" s="1">
        <v>8.2000000000000007E-3</v>
      </c>
    </row>
    <row r="328" spans="2:7" x14ac:dyDescent="0.3">
      <c r="B328" s="2">
        <v>35490</v>
      </c>
      <c r="C328" s="3">
        <v>6.9070000000000006E-2</v>
      </c>
      <c r="D328" s="3">
        <v>6.9070000000000006E-2</v>
      </c>
      <c r="E328" s="3">
        <v>6.9070000000000006E-2</v>
      </c>
      <c r="F328" s="3">
        <v>6.9070000000000006E-2</v>
      </c>
      <c r="G328" s="1">
        <v>5.3499999999999999E-2</v>
      </c>
    </row>
    <row r="329" spans="2:7" x14ac:dyDescent="0.3">
      <c r="B329" s="2">
        <v>35521</v>
      </c>
      <c r="C329" s="3">
        <v>6.7150000000000001E-2</v>
      </c>
      <c r="D329" s="3">
        <v>6.7150000000000001E-2</v>
      </c>
      <c r="E329" s="3">
        <v>6.7150000000000001E-2</v>
      </c>
      <c r="F329" s="3">
        <v>6.7150000000000001E-2</v>
      </c>
      <c r="G329" s="1">
        <v>-2.7799999999999998E-2</v>
      </c>
    </row>
    <row r="330" spans="2:7" x14ac:dyDescent="0.3">
      <c r="B330" s="2">
        <v>35551</v>
      </c>
      <c r="C330" s="3">
        <v>6.6630000000000009E-2</v>
      </c>
      <c r="D330" s="3">
        <v>6.6630000000000009E-2</v>
      </c>
      <c r="E330" s="3">
        <v>6.6630000000000009E-2</v>
      </c>
      <c r="F330" s="3">
        <v>6.6630000000000009E-2</v>
      </c>
      <c r="G330" s="1">
        <v>-7.7000000000000002E-3</v>
      </c>
    </row>
    <row r="331" spans="2:7" x14ac:dyDescent="0.3">
      <c r="B331" s="2">
        <v>35582</v>
      </c>
      <c r="C331" s="3">
        <v>6.5019999999999994E-2</v>
      </c>
      <c r="D331" s="3">
        <v>6.5019999999999994E-2</v>
      </c>
      <c r="E331" s="3">
        <v>6.5019999999999994E-2</v>
      </c>
      <c r="F331" s="3">
        <v>6.5019999999999994E-2</v>
      </c>
      <c r="G331" s="1">
        <v>-2.4199999999999999E-2</v>
      </c>
    </row>
    <row r="332" spans="2:7" x14ac:dyDescent="0.3">
      <c r="B332" s="2">
        <v>35612</v>
      </c>
      <c r="C332" s="3">
        <v>6.0129999999999996E-2</v>
      </c>
      <c r="D332" s="3">
        <v>6.0129999999999996E-2</v>
      </c>
      <c r="E332" s="3">
        <v>6.0129999999999996E-2</v>
      </c>
      <c r="F332" s="3">
        <v>6.0129999999999996E-2</v>
      </c>
      <c r="G332" s="1">
        <v>-7.5200000000000003E-2</v>
      </c>
    </row>
    <row r="333" spans="2:7" x14ac:dyDescent="0.3">
      <c r="B333" s="2">
        <v>35643</v>
      </c>
      <c r="C333" s="3">
        <v>6.3390000000000002E-2</v>
      </c>
      <c r="D333" s="3">
        <v>6.3390000000000002E-2</v>
      </c>
      <c r="E333" s="3">
        <v>6.3390000000000002E-2</v>
      </c>
      <c r="F333" s="3">
        <v>6.3390000000000002E-2</v>
      </c>
      <c r="G333" s="1">
        <v>5.4199999999999998E-2</v>
      </c>
    </row>
    <row r="334" spans="2:7" x14ac:dyDescent="0.3">
      <c r="B334" s="2">
        <v>35674</v>
      </c>
      <c r="C334" s="3">
        <v>6.1030000000000001E-2</v>
      </c>
      <c r="D334" s="3">
        <v>6.1030000000000001E-2</v>
      </c>
      <c r="E334" s="3">
        <v>6.1030000000000001E-2</v>
      </c>
      <c r="F334" s="3">
        <v>6.1030000000000001E-2</v>
      </c>
      <c r="G334" s="1">
        <v>-3.7199999999999997E-2</v>
      </c>
    </row>
    <row r="335" spans="2:7" x14ac:dyDescent="0.3">
      <c r="B335" s="2">
        <v>35704</v>
      </c>
      <c r="C335" s="3">
        <v>5.8310000000000001E-2</v>
      </c>
      <c r="D335" s="3">
        <v>5.8310000000000001E-2</v>
      </c>
      <c r="E335" s="3">
        <v>5.8310000000000001E-2</v>
      </c>
      <c r="F335" s="3">
        <v>5.8310000000000001E-2</v>
      </c>
      <c r="G335" s="1">
        <v>-4.4600000000000001E-2</v>
      </c>
    </row>
    <row r="336" spans="2:7" x14ac:dyDescent="0.3">
      <c r="B336" s="2">
        <v>35735</v>
      </c>
      <c r="C336" s="3">
        <v>5.8799999999999998E-2</v>
      </c>
      <c r="D336" s="3">
        <v>5.8799999999999998E-2</v>
      </c>
      <c r="E336" s="3">
        <v>5.8799999999999998E-2</v>
      </c>
      <c r="F336" s="3">
        <v>5.8799999999999998E-2</v>
      </c>
      <c r="G336" s="1">
        <v>8.3999999999999995E-3</v>
      </c>
    </row>
    <row r="337" spans="2:7" x14ac:dyDescent="0.3">
      <c r="B337" s="2">
        <v>35765</v>
      </c>
      <c r="C337" s="3">
        <v>5.7439999999999998E-2</v>
      </c>
      <c r="D337" s="3">
        <v>5.7439999999999998E-2</v>
      </c>
      <c r="E337" s="3">
        <v>5.7439999999999998E-2</v>
      </c>
      <c r="F337" s="3">
        <v>5.7439999999999998E-2</v>
      </c>
      <c r="G337" s="1">
        <v>-2.3099999999999999E-2</v>
      </c>
    </row>
    <row r="338" spans="2:7" x14ac:dyDescent="0.3">
      <c r="B338" s="2">
        <v>35796</v>
      </c>
      <c r="C338" s="3">
        <v>5.5160000000000001E-2</v>
      </c>
      <c r="D338" s="3">
        <v>5.5160000000000001E-2</v>
      </c>
      <c r="E338" s="3">
        <v>5.5160000000000001E-2</v>
      </c>
      <c r="F338" s="3">
        <v>5.5160000000000001E-2</v>
      </c>
      <c r="G338" s="1">
        <v>-3.9699999999999999E-2</v>
      </c>
    </row>
    <row r="339" spans="2:7" x14ac:dyDescent="0.3">
      <c r="B339" s="2">
        <v>35827</v>
      </c>
      <c r="C339" s="3">
        <v>5.6239999999999998E-2</v>
      </c>
      <c r="D339" s="3">
        <v>5.6239999999999998E-2</v>
      </c>
      <c r="E339" s="3">
        <v>5.6239999999999998E-2</v>
      </c>
      <c r="F339" s="3">
        <v>5.6239999999999998E-2</v>
      </c>
      <c r="G339" s="1">
        <v>1.9599999999999999E-2</v>
      </c>
    </row>
    <row r="340" spans="2:7" x14ac:dyDescent="0.3">
      <c r="B340" s="2">
        <v>35855</v>
      </c>
      <c r="C340" s="3">
        <v>5.6580000000000005E-2</v>
      </c>
      <c r="D340" s="3">
        <v>5.6580000000000005E-2</v>
      </c>
      <c r="E340" s="3">
        <v>5.6580000000000005E-2</v>
      </c>
      <c r="F340" s="3">
        <v>5.6580000000000005E-2</v>
      </c>
      <c r="G340" s="1">
        <v>6.0000000000000001E-3</v>
      </c>
    </row>
    <row r="341" spans="2:7" x14ac:dyDescent="0.3">
      <c r="B341" s="2">
        <v>35886</v>
      </c>
      <c r="C341" s="3">
        <v>5.8200000000000002E-2</v>
      </c>
      <c r="D341" s="3">
        <v>5.8200000000000002E-2</v>
      </c>
      <c r="E341" s="3">
        <v>5.8200000000000002E-2</v>
      </c>
      <c r="F341" s="3">
        <v>5.8200000000000002E-2</v>
      </c>
      <c r="G341" s="1">
        <v>2.86E-2</v>
      </c>
    </row>
    <row r="342" spans="2:7" x14ac:dyDescent="0.3">
      <c r="B342" s="2">
        <v>35916</v>
      </c>
      <c r="C342" s="3">
        <v>5.5579999999999997E-2</v>
      </c>
      <c r="D342" s="3">
        <v>5.5579999999999997E-2</v>
      </c>
      <c r="E342" s="3">
        <v>5.5579999999999997E-2</v>
      </c>
      <c r="F342" s="3">
        <v>5.5579999999999997E-2</v>
      </c>
      <c r="G342" s="1">
        <v>-4.4999999999999998E-2</v>
      </c>
    </row>
    <row r="343" spans="2:7" x14ac:dyDescent="0.3">
      <c r="B343" s="2">
        <v>35947</v>
      </c>
      <c r="C343" s="3">
        <v>5.4459999999999995E-2</v>
      </c>
      <c r="D343" s="3">
        <v>5.4459999999999995E-2</v>
      </c>
      <c r="E343" s="3">
        <v>5.4459999999999995E-2</v>
      </c>
      <c r="F343" s="3">
        <v>5.4459999999999995E-2</v>
      </c>
      <c r="G343" s="1">
        <v>-2.0199999999999999E-2</v>
      </c>
    </row>
    <row r="344" spans="2:7" x14ac:dyDescent="0.3">
      <c r="B344" s="2">
        <v>35977</v>
      </c>
      <c r="C344" s="3">
        <v>5.4939999999999996E-2</v>
      </c>
      <c r="D344" s="3">
        <v>5.4939999999999996E-2</v>
      </c>
      <c r="E344" s="3">
        <v>5.4939999999999996E-2</v>
      </c>
      <c r="F344" s="3">
        <v>5.4939999999999996E-2</v>
      </c>
      <c r="G344" s="1">
        <v>8.8000000000000005E-3</v>
      </c>
    </row>
    <row r="345" spans="2:7" x14ac:dyDescent="0.3">
      <c r="B345" s="2">
        <v>36008</v>
      </c>
      <c r="C345" s="3">
        <v>5.0479999999999997E-2</v>
      </c>
      <c r="D345" s="3">
        <v>5.0479999999999997E-2</v>
      </c>
      <c r="E345" s="3">
        <v>5.0479999999999997E-2</v>
      </c>
      <c r="F345" s="3">
        <v>5.0479999999999997E-2</v>
      </c>
      <c r="G345" s="1">
        <v>-8.1199999999999994E-2</v>
      </c>
    </row>
    <row r="346" spans="2:7" x14ac:dyDescent="0.3">
      <c r="B346" s="2">
        <v>36039</v>
      </c>
      <c r="C346" s="3">
        <v>4.4219999999999995E-2</v>
      </c>
      <c r="D346" s="3">
        <v>4.4219999999999995E-2</v>
      </c>
      <c r="E346" s="3">
        <v>4.4219999999999995E-2</v>
      </c>
      <c r="F346" s="3">
        <v>4.4219999999999995E-2</v>
      </c>
      <c r="G346" s="1">
        <v>-0.124</v>
      </c>
    </row>
    <row r="347" spans="2:7" x14ac:dyDescent="0.3">
      <c r="B347" s="2">
        <v>36069</v>
      </c>
      <c r="C347" s="3">
        <v>4.6029999999999995E-2</v>
      </c>
      <c r="D347" s="3">
        <v>4.6029999999999995E-2</v>
      </c>
      <c r="E347" s="3">
        <v>4.6029999999999995E-2</v>
      </c>
      <c r="F347" s="3">
        <v>4.6029999999999995E-2</v>
      </c>
      <c r="G347" s="1">
        <v>4.0899999999999999E-2</v>
      </c>
    </row>
    <row r="348" spans="2:7" x14ac:dyDescent="0.3">
      <c r="B348" s="2">
        <v>36100</v>
      </c>
      <c r="C348" s="3">
        <v>4.7220000000000005E-2</v>
      </c>
      <c r="D348" s="3">
        <v>4.7220000000000005E-2</v>
      </c>
      <c r="E348" s="3">
        <v>4.7220000000000005E-2</v>
      </c>
      <c r="F348" s="3">
        <v>4.7220000000000005E-2</v>
      </c>
      <c r="G348" s="1">
        <v>2.5899999999999999E-2</v>
      </c>
    </row>
    <row r="349" spans="2:7" x14ac:dyDescent="0.3">
      <c r="B349" s="2">
        <v>36130</v>
      </c>
      <c r="C349" s="3">
        <v>4.6580000000000003E-2</v>
      </c>
      <c r="D349" s="3">
        <v>4.6580000000000003E-2</v>
      </c>
      <c r="E349" s="3">
        <v>4.6580000000000003E-2</v>
      </c>
      <c r="F349" s="3">
        <v>4.6580000000000003E-2</v>
      </c>
      <c r="G349" s="1">
        <v>-1.3599999999999999E-2</v>
      </c>
    </row>
    <row r="350" spans="2:7" x14ac:dyDescent="0.3">
      <c r="B350" s="2">
        <v>36161</v>
      </c>
      <c r="C350" s="3">
        <v>4.6529999999999995E-2</v>
      </c>
      <c r="D350" s="3">
        <v>4.6529999999999995E-2</v>
      </c>
      <c r="E350" s="3">
        <v>4.6529999999999995E-2</v>
      </c>
      <c r="F350" s="3">
        <v>4.6529999999999995E-2</v>
      </c>
      <c r="G350" s="1">
        <v>-1.1000000000000001E-3</v>
      </c>
    </row>
    <row r="351" spans="2:7" x14ac:dyDescent="0.3">
      <c r="B351" s="2">
        <v>36192</v>
      </c>
      <c r="C351" s="3">
        <v>5.2939999999999994E-2</v>
      </c>
      <c r="D351" s="3">
        <v>5.2939999999999994E-2</v>
      </c>
      <c r="E351" s="3">
        <v>5.2939999999999994E-2</v>
      </c>
      <c r="F351" s="3">
        <v>5.2939999999999994E-2</v>
      </c>
      <c r="G351" s="1">
        <v>0.13780000000000001</v>
      </c>
    </row>
    <row r="352" spans="2:7" x14ac:dyDescent="0.3">
      <c r="B352" s="2">
        <v>36220</v>
      </c>
      <c r="C352" s="3">
        <v>5.2420000000000001E-2</v>
      </c>
      <c r="D352" s="3">
        <v>5.2420000000000001E-2</v>
      </c>
      <c r="E352" s="3">
        <v>5.2420000000000001E-2</v>
      </c>
      <c r="F352" s="3">
        <v>5.2420000000000001E-2</v>
      </c>
      <c r="G352" s="1">
        <v>-9.7999999999999997E-3</v>
      </c>
    </row>
    <row r="353" spans="2:7" x14ac:dyDescent="0.3">
      <c r="B353" s="2">
        <v>36251</v>
      </c>
      <c r="C353" s="3">
        <v>5.3499999999999999E-2</v>
      </c>
      <c r="D353" s="3">
        <v>5.3499999999999999E-2</v>
      </c>
      <c r="E353" s="3">
        <v>5.3499999999999999E-2</v>
      </c>
      <c r="F353" s="3">
        <v>5.3499999999999999E-2</v>
      </c>
      <c r="G353" s="1">
        <v>2.06E-2</v>
      </c>
    </row>
    <row r="354" spans="2:7" x14ac:dyDescent="0.3">
      <c r="B354" s="2">
        <v>36281</v>
      </c>
      <c r="C354" s="3">
        <v>5.6239999999999998E-2</v>
      </c>
      <c r="D354" s="3">
        <v>5.6239999999999998E-2</v>
      </c>
      <c r="E354" s="3">
        <v>5.6239999999999998E-2</v>
      </c>
      <c r="F354" s="3">
        <v>5.6239999999999998E-2</v>
      </c>
      <c r="G354" s="1">
        <v>5.1200000000000002E-2</v>
      </c>
    </row>
    <row r="355" spans="2:7" x14ac:dyDescent="0.3">
      <c r="B355" s="2">
        <v>36312</v>
      </c>
      <c r="C355" s="3">
        <v>5.7849999999999999E-2</v>
      </c>
      <c r="D355" s="3">
        <v>5.7849999999999999E-2</v>
      </c>
      <c r="E355" s="3">
        <v>5.7849999999999999E-2</v>
      </c>
      <c r="F355" s="3">
        <v>5.7849999999999999E-2</v>
      </c>
      <c r="G355" s="1">
        <v>2.86E-2</v>
      </c>
    </row>
    <row r="356" spans="2:7" x14ac:dyDescent="0.3">
      <c r="B356" s="2">
        <v>36342</v>
      </c>
      <c r="C356" s="3">
        <v>5.9020000000000003E-2</v>
      </c>
      <c r="D356" s="3">
        <v>5.9020000000000003E-2</v>
      </c>
      <c r="E356" s="3">
        <v>5.9020000000000003E-2</v>
      </c>
      <c r="F356" s="3">
        <v>5.9020000000000003E-2</v>
      </c>
      <c r="G356" s="1">
        <v>2.0199999999999999E-2</v>
      </c>
    </row>
    <row r="357" spans="2:7" x14ac:dyDescent="0.3">
      <c r="B357" s="2">
        <v>36373</v>
      </c>
      <c r="C357" s="3">
        <v>5.9740000000000001E-2</v>
      </c>
      <c r="D357" s="3">
        <v>5.9740000000000001E-2</v>
      </c>
      <c r="E357" s="3">
        <v>5.9740000000000001E-2</v>
      </c>
      <c r="F357" s="3">
        <v>5.9740000000000001E-2</v>
      </c>
      <c r="G357" s="1">
        <v>1.2200000000000001E-2</v>
      </c>
    </row>
    <row r="358" spans="2:7" x14ac:dyDescent="0.3">
      <c r="B358" s="2">
        <v>36404</v>
      </c>
      <c r="C358" s="3">
        <v>5.8810000000000001E-2</v>
      </c>
      <c r="D358" s="3">
        <v>5.8810000000000001E-2</v>
      </c>
      <c r="E358" s="3">
        <v>5.8810000000000001E-2</v>
      </c>
      <c r="F358" s="3">
        <v>5.8810000000000001E-2</v>
      </c>
      <c r="G358" s="1">
        <v>-1.5599999999999999E-2</v>
      </c>
    </row>
    <row r="359" spans="2:7" x14ac:dyDescent="0.3">
      <c r="B359" s="2">
        <v>36434</v>
      </c>
      <c r="C359" s="3">
        <v>6.0279999999999993E-2</v>
      </c>
      <c r="D359" s="3">
        <v>6.0279999999999993E-2</v>
      </c>
      <c r="E359" s="3">
        <v>6.0279999999999993E-2</v>
      </c>
      <c r="F359" s="3">
        <v>6.0279999999999993E-2</v>
      </c>
      <c r="G359" s="1">
        <v>2.5000000000000001E-2</v>
      </c>
    </row>
    <row r="360" spans="2:7" x14ac:dyDescent="0.3">
      <c r="B360" s="2">
        <v>36465</v>
      </c>
      <c r="C360" s="3">
        <v>6.1929999999999999E-2</v>
      </c>
      <c r="D360" s="3">
        <v>6.1929999999999999E-2</v>
      </c>
      <c r="E360" s="3">
        <v>6.1929999999999999E-2</v>
      </c>
      <c r="F360" s="3">
        <v>6.1929999999999999E-2</v>
      </c>
      <c r="G360" s="1">
        <v>2.7400000000000001E-2</v>
      </c>
    </row>
    <row r="361" spans="2:7" x14ac:dyDescent="0.3">
      <c r="B361" s="2">
        <v>36495</v>
      </c>
      <c r="C361" s="3">
        <v>6.4349999999999991E-2</v>
      </c>
      <c r="D361" s="3">
        <v>6.4349999999999991E-2</v>
      </c>
      <c r="E361" s="3">
        <v>6.4349999999999991E-2</v>
      </c>
      <c r="F361" s="3">
        <v>6.4349999999999991E-2</v>
      </c>
      <c r="G361" s="1">
        <v>3.9100000000000003E-2</v>
      </c>
    </row>
    <row r="362" spans="2:7" x14ac:dyDescent="0.3">
      <c r="B362" s="2">
        <v>36526</v>
      </c>
      <c r="C362" s="3">
        <v>6.6619999999999999E-2</v>
      </c>
      <c r="D362" s="3">
        <v>6.6619999999999999E-2</v>
      </c>
      <c r="E362" s="3">
        <v>6.6619999999999999E-2</v>
      </c>
      <c r="F362" s="3">
        <v>6.6619999999999999E-2</v>
      </c>
      <c r="G362" s="1">
        <v>3.5299999999999998E-2</v>
      </c>
    </row>
    <row r="363" spans="2:7" x14ac:dyDescent="0.3">
      <c r="B363" s="2">
        <v>36557</v>
      </c>
      <c r="C363" s="3">
        <v>6.4089999999999994E-2</v>
      </c>
      <c r="D363" s="3">
        <v>6.4089999999999994E-2</v>
      </c>
      <c r="E363" s="3">
        <v>6.4089999999999994E-2</v>
      </c>
      <c r="F363" s="3">
        <v>6.4089999999999994E-2</v>
      </c>
      <c r="G363" s="1">
        <v>-3.7999999999999999E-2</v>
      </c>
    </row>
    <row r="364" spans="2:7" x14ac:dyDescent="0.3">
      <c r="B364" s="2">
        <v>36586</v>
      </c>
      <c r="C364" s="3">
        <v>6.0019999999999997E-2</v>
      </c>
      <c r="D364" s="3">
        <v>6.0019999999999997E-2</v>
      </c>
      <c r="E364" s="3">
        <v>6.0019999999999997E-2</v>
      </c>
      <c r="F364" s="3">
        <v>6.0019999999999997E-2</v>
      </c>
      <c r="G364" s="1">
        <v>-6.3500000000000001E-2</v>
      </c>
    </row>
    <row r="365" spans="2:7" x14ac:dyDescent="0.3">
      <c r="B365" s="2">
        <v>36617</v>
      </c>
      <c r="C365" s="3">
        <v>6.2179999999999999E-2</v>
      </c>
      <c r="D365" s="3">
        <v>6.2179999999999999E-2</v>
      </c>
      <c r="E365" s="3">
        <v>6.2179999999999999E-2</v>
      </c>
      <c r="F365" s="3">
        <v>6.2179999999999999E-2</v>
      </c>
      <c r="G365" s="1">
        <v>3.5999999999999997E-2</v>
      </c>
    </row>
    <row r="366" spans="2:7" x14ac:dyDescent="0.3">
      <c r="B366" s="2">
        <v>36647</v>
      </c>
      <c r="C366" s="3">
        <v>6.2850000000000003E-2</v>
      </c>
      <c r="D366" s="3">
        <v>6.2850000000000003E-2</v>
      </c>
      <c r="E366" s="3">
        <v>6.2850000000000003E-2</v>
      </c>
      <c r="F366" s="3">
        <v>6.2850000000000003E-2</v>
      </c>
      <c r="G366" s="1">
        <v>1.0800000000000001E-2</v>
      </c>
    </row>
    <row r="367" spans="2:7" x14ac:dyDescent="0.3">
      <c r="B367" s="2">
        <v>36678</v>
      </c>
      <c r="C367" s="3">
        <v>6.0270000000000004E-2</v>
      </c>
      <c r="D367" s="3">
        <v>6.0270000000000004E-2</v>
      </c>
      <c r="E367" s="3">
        <v>6.0270000000000004E-2</v>
      </c>
      <c r="F367" s="3">
        <v>6.0270000000000004E-2</v>
      </c>
      <c r="G367" s="1">
        <v>-4.1099999999999998E-2</v>
      </c>
    </row>
    <row r="368" spans="2:7" x14ac:dyDescent="0.3">
      <c r="B368" s="2">
        <v>36708</v>
      </c>
      <c r="C368" s="3">
        <v>6.0400000000000002E-2</v>
      </c>
      <c r="D368" s="3">
        <v>6.0400000000000002E-2</v>
      </c>
      <c r="E368" s="3">
        <v>6.0400000000000002E-2</v>
      </c>
      <c r="F368" s="3">
        <v>6.0400000000000002E-2</v>
      </c>
      <c r="G368" s="1">
        <v>2.2000000000000001E-3</v>
      </c>
    </row>
    <row r="369" spans="2:7" x14ac:dyDescent="0.3">
      <c r="B369" s="2">
        <v>36739</v>
      </c>
      <c r="C369" s="3">
        <v>5.7290000000000001E-2</v>
      </c>
      <c r="D369" s="3">
        <v>5.7290000000000001E-2</v>
      </c>
      <c r="E369" s="3">
        <v>5.7290000000000001E-2</v>
      </c>
      <c r="F369" s="3">
        <v>5.7290000000000001E-2</v>
      </c>
      <c r="G369" s="1">
        <v>-5.1499999999999997E-2</v>
      </c>
    </row>
    <row r="370" spans="2:7" x14ac:dyDescent="0.3">
      <c r="B370" s="2">
        <v>36770</v>
      </c>
      <c r="C370" s="3">
        <v>5.808E-2</v>
      </c>
      <c r="D370" s="3">
        <v>5.808E-2</v>
      </c>
      <c r="E370" s="3">
        <v>5.808E-2</v>
      </c>
      <c r="F370" s="3">
        <v>5.808E-2</v>
      </c>
      <c r="G370" s="1">
        <v>1.38E-2</v>
      </c>
    </row>
    <row r="371" spans="2:7" x14ac:dyDescent="0.3">
      <c r="B371" s="2">
        <v>36800</v>
      </c>
      <c r="C371" s="3">
        <v>5.7610000000000001E-2</v>
      </c>
      <c r="D371" s="3">
        <v>5.7610000000000001E-2</v>
      </c>
      <c r="E371" s="3">
        <v>5.7610000000000001E-2</v>
      </c>
      <c r="F371" s="3">
        <v>5.7610000000000001E-2</v>
      </c>
      <c r="G371" s="1">
        <v>-8.0999999999999996E-3</v>
      </c>
    </row>
    <row r="372" spans="2:7" x14ac:dyDescent="0.3">
      <c r="B372" s="2">
        <v>36831</v>
      </c>
      <c r="C372" s="3">
        <v>5.4779999999999995E-2</v>
      </c>
      <c r="D372" s="3">
        <v>5.4779999999999995E-2</v>
      </c>
      <c r="E372" s="3">
        <v>5.4779999999999995E-2</v>
      </c>
      <c r="F372" s="3">
        <v>5.4779999999999995E-2</v>
      </c>
      <c r="G372" s="1">
        <v>-4.9099999999999998E-2</v>
      </c>
    </row>
    <row r="373" spans="2:7" x14ac:dyDescent="0.3">
      <c r="B373" s="2">
        <v>36861</v>
      </c>
      <c r="C373" s="3">
        <v>5.1119999999999999E-2</v>
      </c>
      <c r="D373" s="3">
        <v>5.1119999999999999E-2</v>
      </c>
      <c r="E373" s="3">
        <v>5.1119999999999999E-2</v>
      </c>
      <c r="F373" s="3">
        <v>5.1119999999999999E-2</v>
      </c>
      <c r="G373" s="1">
        <v>-6.6799999999999998E-2</v>
      </c>
    </row>
    <row r="374" spans="2:7" x14ac:dyDescent="0.3">
      <c r="B374" s="2">
        <v>36892</v>
      </c>
      <c r="C374" s="3">
        <v>5.1119999999999999E-2</v>
      </c>
      <c r="D374" s="3">
        <v>5.1119999999999999E-2</v>
      </c>
      <c r="E374" s="3">
        <v>5.1119999999999999E-2</v>
      </c>
      <c r="F374" s="3">
        <v>5.1119999999999999E-2</v>
      </c>
      <c r="G374" s="1">
        <v>0</v>
      </c>
    </row>
    <row r="375" spans="2:7" x14ac:dyDescent="0.3">
      <c r="B375" s="2">
        <v>36923</v>
      </c>
      <c r="C375" s="3">
        <v>4.904E-2</v>
      </c>
      <c r="D375" s="3">
        <v>4.904E-2</v>
      </c>
      <c r="E375" s="3">
        <v>4.904E-2</v>
      </c>
      <c r="F375" s="3">
        <v>4.904E-2</v>
      </c>
      <c r="G375" s="1">
        <v>-4.07E-2</v>
      </c>
    </row>
    <row r="376" spans="2:7" x14ac:dyDescent="0.3">
      <c r="B376" s="2">
        <v>36951</v>
      </c>
      <c r="C376" s="3">
        <v>4.9149999999999999E-2</v>
      </c>
      <c r="D376" s="3">
        <v>4.9149999999999999E-2</v>
      </c>
      <c r="E376" s="3">
        <v>4.9149999999999999E-2</v>
      </c>
      <c r="F376" s="3">
        <v>4.9149999999999999E-2</v>
      </c>
      <c r="G376" s="1">
        <v>2.2000000000000001E-3</v>
      </c>
    </row>
    <row r="377" spans="2:7" x14ac:dyDescent="0.3">
      <c r="B377" s="2">
        <v>36982</v>
      </c>
      <c r="C377" s="3">
        <v>5.3360000000000005E-2</v>
      </c>
      <c r="D377" s="3">
        <v>5.3360000000000005E-2</v>
      </c>
      <c r="E377" s="3">
        <v>5.3360000000000005E-2</v>
      </c>
      <c r="F377" s="3">
        <v>5.3360000000000005E-2</v>
      </c>
      <c r="G377" s="1">
        <v>8.5699999999999998E-2</v>
      </c>
    </row>
    <row r="378" spans="2:7" x14ac:dyDescent="0.3">
      <c r="B378" s="2">
        <v>37012</v>
      </c>
      <c r="C378" s="3">
        <v>5.3849999999999995E-2</v>
      </c>
      <c r="D378" s="3">
        <v>5.3849999999999995E-2</v>
      </c>
      <c r="E378" s="3">
        <v>5.3849999999999995E-2</v>
      </c>
      <c r="F378" s="3">
        <v>5.3849999999999995E-2</v>
      </c>
      <c r="G378" s="1">
        <v>9.1999999999999998E-3</v>
      </c>
    </row>
    <row r="379" spans="2:7" x14ac:dyDescent="0.3">
      <c r="B379" s="2">
        <v>37043</v>
      </c>
      <c r="C379" s="3">
        <v>5.4039999999999998E-2</v>
      </c>
      <c r="D379" s="3">
        <v>5.4039999999999998E-2</v>
      </c>
      <c r="E379" s="3">
        <v>5.4039999999999998E-2</v>
      </c>
      <c r="F379" s="3">
        <v>5.4039999999999998E-2</v>
      </c>
      <c r="G379" s="1">
        <v>3.5000000000000001E-3</v>
      </c>
    </row>
    <row r="380" spans="2:7" x14ac:dyDescent="0.3">
      <c r="B380" s="2">
        <v>37073</v>
      </c>
      <c r="C380" s="3">
        <v>5.0549999999999998E-2</v>
      </c>
      <c r="D380" s="3">
        <v>5.0549999999999998E-2</v>
      </c>
      <c r="E380" s="3">
        <v>5.0549999999999998E-2</v>
      </c>
      <c r="F380" s="3">
        <v>5.0549999999999998E-2</v>
      </c>
      <c r="G380" s="1">
        <v>-6.4600000000000005E-2</v>
      </c>
    </row>
    <row r="381" spans="2:7" x14ac:dyDescent="0.3">
      <c r="B381" s="2">
        <v>37104</v>
      </c>
      <c r="C381" s="3">
        <v>4.8399999999999999E-2</v>
      </c>
      <c r="D381" s="3">
        <v>4.8399999999999999E-2</v>
      </c>
      <c r="E381" s="3">
        <v>4.8399999999999999E-2</v>
      </c>
      <c r="F381" s="3">
        <v>4.8399999999999999E-2</v>
      </c>
      <c r="G381" s="1">
        <v>-4.2500000000000003E-2</v>
      </c>
    </row>
    <row r="382" spans="2:7" x14ac:dyDescent="0.3">
      <c r="B382" s="2">
        <v>37135</v>
      </c>
      <c r="C382" s="3">
        <v>4.5899999999999996E-2</v>
      </c>
      <c r="D382" s="3">
        <v>4.5899999999999996E-2</v>
      </c>
      <c r="E382" s="3">
        <v>4.5899999999999996E-2</v>
      </c>
      <c r="F382" s="3">
        <v>4.5899999999999996E-2</v>
      </c>
      <c r="G382" s="1">
        <v>-5.1700000000000003E-2</v>
      </c>
    </row>
    <row r="383" spans="2:7" x14ac:dyDescent="0.3">
      <c r="B383" s="2">
        <v>37165</v>
      </c>
      <c r="C383" s="3">
        <v>4.2439999999999999E-2</v>
      </c>
      <c r="D383" s="3">
        <v>4.2439999999999999E-2</v>
      </c>
      <c r="E383" s="3">
        <v>4.2439999999999999E-2</v>
      </c>
      <c r="F383" s="3">
        <v>4.2439999999999999E-2</v>
      </c>
      <c r="G383" s="1">
        <v>-7.5399999999999995E-2</v>
      </c>
    </row>
    <row r="384" spans="2:7" x14ac:dyDescent="0.3">
      <c r="B384" s="2">
        <v>37196</v>
      </c>
      <c r="C384" s="3">
        <v>4.7539999999999999E-2</v>
      </c>
      <c r="D384" s="3">
        <v>4.7539999999999999E-2</v>
      </c>
      <c r="E384" s="3">
        <v>4.7539999999999999E-2</v>
      </c>
      <c r="F384" s="3">
        <v>4.7539999999999999E-2</v>
      </c>
      <c r="G384" s="1">
        <v>0.1202</v>
      </c>
    </row>
    <row r="385" spans="2:7" x14ac:dyDescent="0.3">
      <c r="B385" s="2">
        <v>37226</v>
      </c>
      <c r="C385" s="3">
        <v>5.0290000000000001E-2</v>
      </c>
      <c r="D385" s="3">
        <v>5.0290000000000001E-2</v>
      </c>
      <c r="E385" s="3">
        <v>5.0290000000000001E-2</v>
      </c>
      <c r="F385" s="3">
        <v>5.0290000000000001E-2</v>
      </c>
      <c r="G385" s="1">
        <v>5.7799999999999997E-2</v>
      </c>
    </row>
    <row r="386" spans="2:7" x14ac:dyDescent="0.3">
      <c r="B386" s="2">
        <v>37257</v>
      </c>
      <c r="C386" s="3">
        <v>5.0460000000000005E-2</v>
      </c>
      <c r="D386" s="3">
        <v>5.0460000000000005E-2</v>
      </c>
      <c r="E386" s="3">
        <v>5.0460000000000005E-2</v>
      </c>
      <c r="F386" s="3">
        <v>5.0460000000000005E-2</v>
      </c>
      <c r="G386" s="1">
        <v>3.3999999999999998E-3</v>
      </c>
    </row>
    <row r="387" spans="2:7" x14ac:dyDescent="0.3">
      <c r="B387" s="2">
        <v>37288</v>
      </c>
      <c r="C387" s="3">
        <v>4.8739999999999999E-2</v>
      </c>
      <c r="D387" s="3">
        <v>4.8739999999999999E-2</v>
      </c>
      <c r="E387" s="3">
        <v>4.8739999999999999E-2</v>
      </c>
      <c r="F387" s="3">
        <v>4.8739999999999999E-2</v>
      </c>
      <c r="G387" s="1">
        <v>-3.4099999999999998E-2</v>
      </c>
    </row>
    <row r="388" spans="2:7" x14ac:dyDescent="0.3">
      <c r="B388" s="2">
        <v>37316</v>
      </c>
      <c r="C388" s="3">
        <v>5.4059999999999997E-2</v>
      </c>
      <c r="D388" s="3">
        <v>5.4059999999999997E-2</v>
      </c>
      <c r="E388" s="3">
        <v>5.4059999999999997E-2</v>
      </c>
      <c r="F388" s="3">
        <v>5.4059999999999997E-2</v>
      </c>
      <c r="G388" s="1">
        <v>0.10920000000000001</v>
      </c>
    </row>
    <row r="389" spans="2:7" x14ac:dyDescent="0.3">
      <c r="B389" s="2">
        <v>37347</v>
      </c>
      <c r="C389" s="3">
        <v>5.0890000000000005E-2</v>
      </c>
      <c r="D389" s="3">
        <v>5.0890000000000005E-2</v>
      </c>
      <c r="E389" s="3">
        <v>5.0890000000000005E-2</v>
      </c>
      <c r="F389" s="3">
        <v>5.0890000000000005E-2</v>
      </c>
      <c r="G389" s="1">
        <v>-5.8599999999999999E-2</v>
      </c>
    </row>
    <row r="390" spans="2:7" x14ac:dyDescent="0.3">
      <c r="B390" s="2">
        <v>37377</v>
      </c>
      <c r="C390" s="3">
        <v>5.0450000000000002E-2</v>
      </c>
      <c r="D390" s="3">
        <v>5.0450000000000002E-2</v>
      </c>
      <c r="E390" s="3">
        <v>5.0450000000000002E-2</v>
      </c>
      <c r="F390" s="3">
        <v>5.0450000000000002E-2</v>
      </c>
      <c r="G390" s="1">
        <v>-8.6E-3</v>
      </c>
    </row>
    <row r="391" spans="2:7" x14ac:dyDescent="0.3">
      <c r="B391" s="2">
        <v>37408</v>
      </c>
      <c r="C391" s="3">
        <v>4.8090000000000001E-2</v>
      </c>
      <c r="D391" s="3">
        <v>4.8090000000000001E-2</v>
      </c>
      <c r="E391" s="3">
        <v>4.8090000000000001E-2</v>
      </c>
      <c r="F391" s="3">
        <v>4.8090000000000001E-2</v>
      </c>
      <c r="G391" s="1">
        <v>-4.6800000000000001E-2</v>
      </c>
    </row>
    <row r="392" spans="2:7" x14ac:dyDescent="0.3">
      <c r="B392" s="2">
        <v>37438</v>
      </c>
      <c r="C392" s="3">
        <v>4.4589999999999998E-2</v>
      </c>
      <c r="D392" s="3">
        <v>4.4589999999999998E-2</v>
      </c>
      <c r="E392" s="3">
        <v>4.4589999999999998E-2</v>
      </c>
      <c r="F392" s="3">
        <v>4.4589999999999998E-2</v>
      </c>
      <c r="G392" s="1">
        <v>-7.2800000000000004E-2</v>
      </c>
    </row>
    <row r="393" spans="2:7" x14ac:dyDescent="0.3">
      <c r="B393" s="2">
        <v>37469</v>
      </c>
      <c r="C393" s="3">
        <v>4.1299999999999996E-2</v>
      </c>
      <c r="D393" s="3">
        <v>4.1299999999999996E-2</v>
      </c>
      <c r="E393" s="3">
        <v>4.1299999999999996E-2</v>
      </c>
      <c r="F393" s="3">
        <v>4.1299999999999996E-2</v>
      </c>
      <c r="G393" s="1">
        <v>-7.3800000000000004E-2</v>
      </c>
    </row>
    <row r="394" spans="2:7" x14ac:dyDescent="0.3">
      <c r="B394" s="2">
        <v>37500</v>
      </c>
      <c r="C394" s="3">
        <v>3.6000000000000004E-2</v>
      </c>
      <c r="D394" s="3">
        <v>3.6000000000000004E-2</v>
      </c>
      <c r="E394" s="3">
        <v>3.6000000000000004E-2</v>
      </c>
      <c r="F394" s="3">
        <v>3.6000000000000004E-2</v>
      </c>
      <c r="G394" s="1">
        <v>-0.1283</v>
      </c>
    </row>
    <row r="395" spans="2:7" x14ac:dyDescent="0.3">
      <c r="B395" s="2">
        <v>37530</v>
      </c>
      <c r="C395" s="3">
        <v>3.8949999999999999E-2</v>
      </c>
      <c r="D395" s="3">
        <v>3.8949999999999999E-2</v>
      </c>
      <c r="E395" s="3">
        <v>3.8949999999999999E-2</v>
      </c>
      <c r="F395" s="3">
        <v>3.8949999999999999E-2</v>
      </c>
      <c r="G395" s="1">
        <v>8.1900000000000001E-2</v>
      </c>
    </row>
    <row r="396" spans="2:7" x14ac:dyDescent="0.3">
      <c r="B396" s="2">
        <v>37561</v>
      </c>
      <c r="C396" s="3">
        <v>4.2110000000000002E-2</v>
      </c>
      <c r="D396" s="3">
        <v>4.2110000000000002E-2</v>
      </c>
      <c r="E396" s="3">
        <v>4.2110000000000002E-2</v>
      </c>
      <c r="F396" s="3">
        <v>4.2110000000000002E-2</v>
      </c>
      <c r="G396" s="1">
        <v>8.1100000000000005E-2</v>
      </c>
    </row>
    <row r="397" spans="2:7" x14ac:dyDescent="0.3">
      <c r="B397" s="2">
        <v>37591</v>
      </c>
      <c r="C397" s="3">
        <v>3.8179999999999999E-2</v>
      </c>
      <c r="D397" s="3">
        <v>3.8179999999999999E-2</v>
      </c>
      <c r="E397" s="3">
        <v>3.8179999999999999E-2</v>
      </c>
      <c r="F397" s="3">
        <v>3.8179999999999999E-2</v>
      </c>
      <c r="G397" s="1">
        <v>-9.3299999999999994E-2</v>
      </c>
    </row>
    <row r="398" spans="2:7" x14ac:dyDescent="0.3">
      <c r="B398" s="2">
        <v>37622</v>
      </c>
      <c r="C398" s="3">
        <v>3.9660000000000001E-2</v>
      </c>
      <c r="D398" s="3">
        <v>3.9660000000000001E-2</v>
      </c>
      <c r="E398" s="3">
        <v>3.9660000000000001E-2</v>
      </c>
      <c r="F398" s="3">
        <v>3.9660000000000001E-2</v>
      </c>
      <c r="G398" s="1">
        <v>3.8800000000000001E-2</v>
      </c>
    </row>
    <row r="399" spans="2:7" x14ac:dyDescent="0.3">
      <c r="B399" s="2">
        <v>37653</v>
      </c>
      <c r="C399" s="3">
        <v>3.6920000000000001E-2</v>
      </c>
      <c r="D399" s="3">
        <v>3.6920000000000001E-2</v>
      </c>
      <c r="E399" s="3">
        <v>3.6920000000000001E-2</v>
      </c>
      <c r="F399" s="3">
        <v>3.6920000000000001E-2</v>
      </c>
      <c r="G399" s="1">
        <v>-6.9099999999999995E-2</v>
      </c>
    </row>
    <row r="400" spans="2:7" x14ac:dyDescent="0.3">
      <c r="B400" s="2">
        <v>37681</v>
      </c>
      <c r="C400" s="3">
        <v>3.8019999999999998E-2</v>
      </c>
      <c r="D400" s="3">
        <v>3.8019999999999998E-2</v>
      </c>
      <c r="E400" s="3">
        <v>3.8019999999999998E-2</v>
      </c>
      <c r="F400" s="3">
        <v>3.8019999999999998E-2</v>
      </c>
      <c r="G400" s="1">
        <v>2.98E-2</v>
      </c>
    </row>
    <row r="401" spans="2:7" x14ac:dyDescent="0.3">
      <c r="B401" s="2">
        <v>37712</v>
      </c>
      <c r="C401" s="3">
        <v>3.8399999999999997E-2</v>
      </c>
      <c r="D401" s="3">
        <v>3.8399999999999997E-2</v>
      </c>
      <c r="E401" s="3">
        <v>3.8399999999999997E-2</v>
      </c>
      <c r="F401" s="3">
        <v>3.8399999999999997E-2</v>
      </c>
      <c r="G401" s="1">
        <v>0.01</v>
      </c>
    </row>
    <row r="402" spans="2:7" x14ac:dyDescent="0.3">
      <c r="B402" s="2">
        <v>37742</v>
      </c>
      <c r="C402" s="3">
        <v>3.3730000000000003E-2</v>
      </c>
      <c r="D402" s="3">
        <v>3.3730000000000003E-2</v>
      </c>
      <c r="E402" s="3">
        <v>3.3730000000000003E-2</v>
      </c>
      <c r="F402" s="3">
        <v>3.3730000000000003E-2</v>
      </c>
      <c r="G402" s="1">
        <v>-0.1216</v>
      </c>
    </row>
    <row r="403" spans="2:7" x14ac:dyDescent="0.3">
      <c r="B403" s="2">
        <v>37773</v>
      </c>
      <c r="C403" s="3">
        <v>3.5159999999999997E-2</v>
      </c>
      <c r="D403" s="3">
        <v>3.5159999999999997E-2</v>
      </c>
      <c r="E403" s="3">
        <v>3.5159999999999997E-2</v>
      </c>
      <c r="F403" s="3">
        <v>3.5159999999999997E-2</v>
      </c>
      <c r="G403" s="1">
        <v>4.24E-2</v>
      </c>
    </row>
    <row r="404" spans="2:7" x14ac:dyDescent="0.3">
      <c r="B404" s="2">
        <v>37803</v>
      </c>
      <c r="C404" s="3">
        <v>4.41E-2</v>
      </c>
      <c r="D404" s="3">
        <v>4.41E-2</v>
      </c>
      <c r="E404" s="3">
        <v>4.41E-2</v>
      </c>
      <c r="F404" s="3">
        <v>4.41E-2</v>
      </c>
      <c r="G404" s="1">
        <v>0.25430000000000003</v>
      </c>
    </row>
    <row r="405" spans="2:7" x14ac:dyDescent="0.3">
      <c r="B405" s="2">
        <v>37834</v>
      </c>
      <c r="C405" s="3">
        <v>4.4699999999999997E-2</v>
      </c>
      <c r="D405" s="3">
        <v>4.4699999999999997E-2</v>
      </c>
      <c r="E405" s="3">
        <v>4.4699999999999997E-2</v>
      </c>
      <c r="F405" s="3">
        <v>4.4699999999999997E-2</v>
      </c>
      <c r="G405" s="1">
        <v>1.3599999999999999E-2</v>
      </c>
    </row>
    <row r="406" spans="2:7" x14ac:dyDescent="0.3">
      <c r="B406" s="2">
        <v>37865</v>
      </c>
      <c r="C406" s="3">
        <v>3.9399999999999998E-2</v>
      </c>
      <c r="D406" s="3">
        <v>3.9399999999999998E-2</v>
      </c>
      <c r="E406" s="3">
        <v>3.9399999999999998E-2</v>
      </c>
      <c r="F406" s="3">
        <v>3.9399999999999998E-2</v>
      </c>
      <c r="G406" s="1">
        <v>-0.1186</v>
      </c>
    </row>
    <row r="407" spans="2:7" x14ac:dyDescent="0.3">
      <c r="B407" s="2">
        <v>37895</v>
      </c>
      <c r="C407" s="3">
        <v>4.2969999999999994E-2</v>
      </c>
      <c r="D407" s="3">
        <v>4.2969999999999994E-2</v>
      </c>
      <c r="E407" s="3">
        <v>4.2969999999999994E-2</v>
      </c>
      <c r="F407" s="3">
        <v>4.2969999999999994E-2</v>
      </c>
      <c r="G407" s="1">
        <v>9.06E-2</v>
      </c>
    </row>
    <row r="408" spans="2:7" x14ac:dyDescent="0.3">
      <c r="B408" s="2">
        <v>37926</v>
      </c>
      <c r="C408" s="3">
        <v>4.3339999999999997E-2</v>
      </c>
      <c r="D408" s="3">
        <v>4.3339999999999997E-2</v>
      </c>
      <c r="E408" s="3">
        <v>4.3339999999999997E-2</v>
      </c>
      <c r="F408" s="3">
        <v>4.3339999999999997E-2</v>
      </c>
      <c r="G408" s="1">
        <v>8.6E-3</v>
      </c>
    </row>
    <row r="409" spans="2:7" x14ac:dyDescent="0.3">
      <c r="B409" s="2">
        <v>37956</v>
      </c>
      <c r="C409" s="3">
        <v>4.2529999999999998E-2</v>
      </c>
      <c r="D409" s="3">
        <v>4.2529999999999998E-2</v>
      </c>
      <c r="E409" s="3">
        <v>4.2529999999999998E-2</v>
      </c>
      <c r="F409" s="3">
        <v>4.2529999999999998E-2</v>
      </c>
      <c r="G409" s="1">
        <v>-1.8700000000000001E-2</v>
      </c>
    </row>
    <row r="410" spans="2:7" x14ac:dyDescent="0.3">
      <c r="B410" s="2">
        <v>37987</v>
      </c>
      <c r="C410" s="3">
        <v>4.1340000000000002E-2</v>
      </c>
      <c r="D410" s="3">
        <v>4.1340000000000002E-2</v>
      </c>
      <c r="E410" s="3">
        <v>4.1340000000000002E-2</v>
      </c>
      <c r="F410" s="3">
        <v>4.1340000000000002E-2</v>
      </c>
      <c r="G410" s="1">
        <v>-2.8000000000000001E-2</v>
      </c>
    </row>
    <row r="411" spans="2:7" x14ac:dyDescent="0.3">
      <c r="B411" s="2">
        <v>38018</v>
      </c>
      <c r="C411" s="3">
        <v>3.9719999999999998E-2</v>
      </c>
      <c r="D411" s="3">
        <v>3.9719999999999998E-2</v>
      </c>
      <c r="E411" s="3">
        <v>3.9719999999999998E-2</v>
      </c>
      <c r="F411" s="3">
        <v>3.9719999999999998E-2</v>
      </c>
      <c r="G411" s="1">
        <v>-3.9199999999999999E-2</v>
      </c>
    </row>
    <row r="412" spans="2:7" x14ac:dyDescent="0.3">
      <c r="B412" s="2">
        <v>38047</v>
      </c>
      <c r="C412" s="3">
        <v>3.8370000000000001E-2</v>
      </c>
      <c r="D412" s="3">
        <v>3.8370000000000001E-2</v>
      </c>
      <c r="E412" s="3">
        <v>3.8370000000000001E-2</v>
      </c>
      <c r="F412" s="3">
        <v>3.8370000000000001E-2</v>
      </c>
      <c r="G412" s="1">
        <v>-3.4000000000000002E-2</v>
      </c>
    </row>
    <row r="413" spans="2:7" x14ac:dyDescent="0.3">
      <c r="B413" s="2">
        <v>38078</v>
      </c>
      <c r="C413" s="3">
        <v>4.5100000000000001E-2</v>
      </c>
      <c r="D413" s="3">
        <v>4.5100000000000001E-2</v>
      </c>
      <c r="E413" s="3">
        <v>4.5100000000000001E-2</v>
      </c>
      <c r="F413" s="3">
        <v>4.5100000000000001E-2</v>
      </c>
      <c r="G413" s="1">
        <v>0.1754</v>
      </c>
    </row>
    <row r="414" spans="2:7" x14ac:dyDescent="0.3">
      <c r="B414" s="2">
        <v>38108</v>
      </c>
      <c r="C414" s="3">
        <v>4.6649999999999997E-2</v>
      </c>
      <c r="D414" s="3">
        <v>4.6649999999999997E-2</v>
      </c>
      <c r="E414" s="3">
        <v>4.6649999999999997E-2</v>
      </c>
      <c r="F414" s="3">
        <v>4.6649999999999997E-2</v>
      </c>
      <c r="G414" s="1">
        <v>3.44E-2</v>
      </c>
    </row>
    <row r="415" spans="2:7" x14ac:dyDescent="0.3">
      <c r="B415" s="2">
        <v>38139</v>
      </c>
      <c r="C415" s="3">
        <v>4.5830000000000003E-2</v>
      </c>
      <c r="D415" s="3">
        <v>4.5830000000000003E-2</v>
      </c>
      <c r="E415" s="3">
        <v>4.5830000000000003E-2</v>
      </c>
      <c r="F415" s="3">
        <v>4.5830000000000003E-2</v>
      </c>
      <c r="G415" s="1">
        <v>-1.7600000000000001E-2</v>
      </c>
    </row>
    <row r="416" spans="2:7" x14ac:dyDescent="0.3">
      <c r="B416" s="2">
        <v>38169</v>
      </c>
      <c r="C416" s="3">
        <v>4.4909999999999999E-2</v>
      </c>
      <c r="D416" s="3">
        <v>4.4909999999999999E-2</v>
      </c>
      <c r="E416" s="3">
        <v>4.4909999999999999E-2</v>
      </c>
      <c r="F416" s="3">
        <v>4.4909999999999999E-2</v>
      </c>
      <c r="G416" s="1">
        <v>-2.01E-2</v>
      </c>
    </row>
    <row r="417" spans="2:7" x14ac:dyDescent="0.3">
      <c r="B417" s="2">
        <v>38200</v>
      </c>
      <c r="C417" s="3">
        <v>4.24E-2</v>
      </c>
      <c r="D417" s="3">
        <v>4.24E-2</v>
      </c>
      <c r="E417" s="3">
        <v>4.24E-2</v>
      </c>
      <c r="F417" s="3">
        <v>4.24E-2</v>
      </c>
      <c r="G417" s="1">
        <v>-5.5899999999999998E-2</v>
      </c>
    </row>
    <row r="418" spans="2:7" x14ac:dyDescent="0.3">
      <c r="B418" s="2">
        <v>38231</v>
      </c>
      <c r="C418" s="3">
        <v>4.1230000000000003E-2</v>
      </c>
      <c r="D418" s="3">
        <v>4.1230000000000003E-2</v>
      </c>
      <c r="E418" s="3">
        <v>4.1230000000000003E-2</v>
      </c>
      <c r="F418" s="3">
        <v>4.1230000000000003E-2</v>
      </c>
      <c r="G418" s="1">
        <v>-2.76E-2</v>
      </c>
    </row>
    <row r="419" spans="2:7" x14ac:dyDescent="0.3">
      <c r="B419" s="2">
        <v>38261</v>
      </c>
      <c r="C419" s="3">
        <v>4.0289999999999999E-2</v>
      </c>
      <c r="D419" s="3">
        <v>4.0289999999999999E-2</v>
      </c>
      <c r="E419" s="3">
        <v>4.0289999999999999E-2</v>
      </c>
      <c r="F419" s="3">
        <v>4.0289999999999999E-2</v>
      </c>
      <c r="G419" s="1">
        <v>-2.2800000000000001E-2</v>
      </c>
    </row>
    <row r="420" spans="2:7" x14ac:dyDescent="0.3">
      <c r="B420" s="2">
        <v>38292</v>
      </c>
      <c r="C420" s="3">
        <v>4.3550000000000005E-2</v>
      </c>
      <c r="D420" s="3">
        <v>4.3550000000000005E-2</v>
      </c>
      <c r="E420" s="3">
        <v>4.3550000000000005E-2</v>
      </c>
      <c r="F420" s="3">
        <v>4.3550000000000005E-2</v>
      </c>
      <c r="G420" s="1">
        <v>8.09E-2</v>
      </c>
    </row>
    <row r="421" spans="2:7" x14ac:dyDescent="0.3">
      <c r="B421" s="2">
        <v>38322</v>
      </c>
      <c r="C421" s="3">
        <v>4.2220000000000008E-2</v>
      </c>
      <c r="D421" s="3">
        <v>4.2220000000000008E-2</v>
      </c>
      <c r="E421" s="3">
        <v>4.2220000000000008E-2</v>
      </c>
      <c r="F421" s="3">
        <v>4.2220000000000008E-2</v>
      </c>
      <c r="G421" s="1">
        <v>-3.0499999999999999E-2</v>
      </c>
    </row>
    <row r="422" spans="2:7" x14ac:dyDescent="0.3">
      <c r="B422" s="2">
        <v>38353</v>
      </c>
      <c r="C422" s="3">
        <v>4.1319999999999996E-2</v>
      </c>
      <c r="D422" s="3">
        <v>4.1319999999999996E-2</v>
      </c>
      <c r="E422" s="3">
        <v>4.1319999999999996E-2</v>
      </c>
      <c r="F422" s="3">
        <v>4.1319999999999996E-2</v>
      </c>
      <c r="G422" s="1">
        <v>-2.1299999999999999E-2</v>
      </c>
    </row>
    <row r="423" spans="2:7" x14ac:dyDescent="0.3">
      <c r="B423" s="2">
        <v>38384</v>
      </c>
      <c r="C423" s="3">
        <v>4.3810000000000002E-2</v>
      </c>
      <c r="D423" s="3">
        <v>4.3810000000000002E-2</v>
      </c>
      <c r="E423" s="3">
        <v>4.3810000000000002E-2</v>
      </c>
      <c r="F423" s="3">
        <v>4.3810000000000002E-2</v>
      </c>
      <c r="G423" s="1">
        <v>6.0299999999999999E-2</v>
      </c>
    </row>
    <row r="424" spans="2:7" x14ac:dyDescent="0.3">
      <c r="B424" s="2">
        <v>38412</v>
      </c>
      <c r="C424" s="3">
        <v>4.4880000000000003E-2</v>
      </c>
      <c r="D424" s="3">
        <v>4.4880000000000003E-2</v>
      </c>
      <c r="E424" s="3">
        <v>4.4880000000000003E-2</v>
      </c>
      <c r="F424" s="3">
        <v>4.4880000000000003E-2</v>
      </c>
      <c r="G424" s="1">
        <v>2.4400000000000002E-2</v>
      </c>
    </row>
    <row r="425" spans="2:7" x14ac:dyDescent="0.3">
      <c r="B425" s="2">
        <v>38443</v>
      </c>
      <c r="C425" s="3">
        <v>4.2000000000000003E-2</v>
      </c>
      <c r="D425" s="3">
        <v>4.2000000000000003E-2</v>
      </c>
      <c r="E425" s="3">
        <v>4.2000000000000003E-2</v>
      </c>
      <c r="F425" s="3">
        <v>4.2000000000000003E-2</v>
      </c>
      <c r="G425" s="1">
        <v>-6.4199999999999993E-2</v>
      </c>
    </row>
    <row r="426" spans="2:7" x14ac:dyDescent="0.3">
      <c r="B426" s="2">
        <v>38473</v>
      </c>
      <c r="C426" s="3">
        <v>3.9870000000000003E-2</v>
      </c>
      <c r="D426" s="3">
        <v>3.9870000000000003E-2</v>
      </c>
      <c r="E426" s="3">
        <v>3.9870000000000003E-2</v>
      </c>
      <c r="F426" s="3">
        <v>3.9870000000000003E-2</v>
      </c>
      <c r="G426" s="1">
        <v>-5.0700000000000002E-2</v>
      </c>
    </row>
    <row r="427" spans="2:7" x14ac:dyDescent="0.3">
      <c r="B427" s="2">
        <v>38504</v>
      </c>
      <c r="C427" s="3">
        <v>3.9209999999999995E-2</v>
      </c>
      <c r="D427" s="3">
        <v>3.9209999999999995E-2</v>
      </c>
      <c r="E427" s="3">
        <v>3.9209999999999995E-2</v>
      </c>
      <c r="F427" s="3">
        <v>3.9209999999999995E-2</v>
      </c>
      <c r="G427" s="1">
        <v>-1.66E-2</v>
      </c>
    </row>
    <row r="428" spans="2:7" x14ac:dyDescent="0.3">
      <c r="B428" s="2">
        <v>38534</v>
      </c>
      <c r="C428" s="3">
        <v>4.2819999999999997E-2</v>
      </c>
      <c r="D428" s="3">
        <v>4.2819999999999997E-2</v>
      </c>
      <c r="E428" s="3">
        <v>4.2819999999999997E-2</v>
      </c>
      <c r="F428" s="3">
        <v>4.2819999999999997E-2</v>
      </c>
      <c r="G428" s="1">
        <v>9.2100000000000001E-2</v>
      </c>
    </row>
    <row r="429" spans="2:7" x14ac:dyDescent="0.3">
      <c r="B429" s="2">
        <v>38565</v>
      </c>
      <c r="C429" s="3">
        <v>4.0140000000000002E-2</v>
      </c>
      <c r="D429" s="3">
        <v>4.0140000000000002E-2</v>
      </c>
      <c r="E429" s="3">
        <v>4.0140000000000002E-2</v>
      </c>
      <c r="F429" s="3">
        <v>4.0140000000000002E-2</v>
      </c>
      <c r="G429" s="1">
        <v>-6.2600000000000003E-2</v>
      </c>
    </row>
    <row r="430" spans="2:7" x14ac:dyDescent="0.3">
      <c r="B430" s="2">
        <v>38596</v>
      </c>
      <c r="C430" s="3">
        <v>4.3319999999999997E-2</v>
      </c>
      <c r="D430" s="3">
        <v>4.3319999999999997E-2</v>
      </c>
      <c r="E430" s="3">
        <v>4.3319999999999997E-2</v>
      </c>
      <c r="F430" s="3">
        <v>4.3319999999999997E-2</v>
      </c>
      <c r="G430" s="1">
        <v>7.9200000000000007E-2</v>
      </c>
    </row>
    <row r="431" spans="2:7" x14ac:dyDescent="0.3">
      <c r="B431" s="2">
        <v>38626</v>
      </c>
      <c r="C431" s="3">
        <v>4.5570000000000006E-2</v>
      </c>
      <c r="D431" s="3">
        <v>4.5570000000000006E-2</v>
      </c>
      <c r="E431" s="3">
        <v>4.5570000000000006E-2</v>
      </c>
      <c r="F431" s="3">
        <v>4.5570000000000006E-2</v>
      </c>
      <c r="G431" s="1">
        <v>5.1900000000000002E-2</v>
      </c>
    </row>
    <row r="432" spans="2:7" x14ac:dyDescent="0.3">
      <c r="B432" s="2">
        <v>38657</v>
      </c>
      <c r="C432" s="3">
        <v>4.4900000000000002E-2</v>
      </c>
      <c r="D432" s="3">
        <v>4.4900000000000002E-2</v>
      </c>
      <c r="E432" s="3">
        <v>4.4900000000000002E-2</v>
      </c>
      <c r="F432" s="3">
        <v>4.4900000000000002E-2</v>
      </c>
      <c r="G432" s="1">
        <v>-1.47E-2</v>
      </c>
    </row>
    <row r="433" spans="2:7" x14ac:dyDescent="0.3">
      <c r="B433" s="2">
        <v>38687</v>
      </c>
      <c r="C433" s="3">
        <v>4.3949999999999996E-2</v>
      </c>
      <c r="D433" s="3">
        <v>4.3949999999999996E-2</v>
      </c>
      <c r="E433" s="3">
        <v>4.3949999999999996E-2</v>
      </c>
      <c r="F433" s="3">
        <v>4.3949999999999996E-2</v>
      </c>
      <c r="G433" s="1">
        <v>-2.12E-2</v>
      </c>
    </row>
    <row r="434" spans="2:7" x14ac:dyDescent="0.3">
      <c r="B434" s="2">
        <v>38718</v>
      </c>
      <c r="C434" s="3">
        <v>4.5190000000000001E-2</v>
      </c>
      <c r="D434" s="3">
        <v>4.5190000000000001E-2</v>
      </c>
      <c r="E434" s="3">
        <v>4.5190000000000001E-2</v>
      </c>
      <c r="F434" s="3">
        <v>4.5190000000000001E-2</v>
      </c>
      <c r="G434" s="1">
        <v>2.8199999999999999E-2</v>
      </c>
    </row>
    <row r="435" spans="2:7" x14ac:dyDescent="0.3">
      <c r="B435" s="2">
        <v>38749</v>
      </c>
      <c r="C435" s="3">
        <v>4.5570000000000006E-2</v>
      </c>
      <c r="D435" s="3">
        <v>4.5570000000000006E-2</v>
      </c>
      <c r="E435" s="3">
        <v>4.5570000000000006E-2</v>
      </c>
      <c r="F435" s="3">
        <v>4.5570000000000006E-2</v>
      </c>
      <c r="G435" s="1">
        <v>8.3999999999999995E-3</v>
      </c>
    </row>
    <row r="436" spans="2:7" x14ac:dyDescent="0.3">
      <c r="B436" s="2">
        <v>38777</v>
      </c>
      <c r="C436" s="3">
        <v>4.8529999999999997E-2</v>
      </c>
      <c r="D436" s="3">
        <v>4.8529999999999997E-2</v>
      </c>
      <c r="E436" s="3">
        <v>4.8529999999999997E-2</v>
      </c>
      <c r="F436" s="3">
        <v>4.8529999999999997E-2</v>
      </c>
      <c r="G436" s="1">
        <v>6.5000000000000002E-2</v>
      </c>
    </row>
    <row r="437" spans="2:7" x14ac:dyDescent="0.3">
      <c r="B437" s="2">
        <v>38808</v>
      </c>
      <c r="C437" s="3">
        <v>5.0570000000000004E-2</v>
      </c>
      <c r="D437" s="3">
        <v>5.0570000000000004E-2</v>
      </c>
      <c r="E437" s="3">
        <v>5.0570000000000004E-2</v>
      </c>
      <c r="F437" s="3">
        <v>5.0570000000000004E-2</v>
      </c>
      <c r="G437" s="1">
        <v>4.2000000000000003E-2</v>
      </c>
    </row>
    <row r="438" spans="2:7" x14ac:dyDescent="0.3">
      <c r="B438" s="2">
        <v>38838</v>
      </c>
      <c r="C438" s="3">
        <v>5.1230000000000005E-2</v>
      </c>
      <c r="D438" s="3">
        <v>5.1230000000000005E-2</v>
      </c>
      <c r="E438" s="3">
        <v>5.1230000000000005E-2</v>
      </c>
      <c r="F438" s="3">
        <v>5.1230000000000005E-2</v>
      </c>
      <c r="G438" s="1">
        <v>1.3100000000000001E-2</v>
      </c>
    </row>
    <row r="439" spans="2:7" x14ac:dyDescent="0.3">
      <c r="B439" s="2">
        <v>38869</v>
      </c>
      <c r="C439" s="3">
        <v>5.1449999999999996E-2</v>
      </c>
      <c r="D439" s="3">
        <v>5.1449999999999996E-2</v>
      </c>
      <c r="E439" s="3">
        <v>5.1449999999999996E-2</v>
      </c>
      <c r="F439" s="3">
        <v>5.1449999999999996E-2</v>
      </c>
      <c r="G439" s="1">
        <v>4.3E-3</v>
      </c>
    </row>
    <row r="440" spans="2:7" x14ac:dyDescent="0.3">
      <c r="B440" s="2">
        <v>38899</v>
      </c>
      <c r="C440" s="3">
        <v>4.9880000000000008E-2</v>
      </c>
      <c r="D440" s="3">
        <v>4.9880000000000008E-2</v>
      </c>
      <c r="E440" s="3">
        <v>4.9880000000000008E-2</v>
      </c>
      <c r="F440" s="3">
        <v>4.9880000000000008E-2</v>
      </c>
      <c r="G440" s="1">
        <v>-3.0499999999999999E-2</v>
      </c>
    </row>
    <row r="441" spans="2:7" x14ac:dyDescent="0.3">
      <c r="B441" s="2">
        <v>38930</v>
      </c>
      <c r="C441" s="3">
        <v>4.7320000000000001E-2</v>
      </c>
      <c r="D441" s="3">
        <v>4.7320000000000001E-2</v>
      </c>
      <c r="E441" s="3">
        <v>4.7320000000000001E-2</v>
      </c>
      <c r="F441" s="3">
        <v>4.7320000000000001E-2</v>
      </c>
      <c r="G441" s="1">
        <v>-5.1299999999999998E-2</v>
      </c>
    </row>
    <row r="442" spans="2:7" x14ac:dyDescent="0.3">
      <c r="B442" s="2">
        <v>38961</v>
      </c>
      <c r="C442" s="3">
        <v>4.6330000000000003E-2</v>
      </c>
      <c r="D442" s="3">
        <v>4.6330000000000003E-2</v>
      </c>
      <c r="E442" s="3">
        <v>4.6330000000000003E-2</v>
      </c>
      <c r="F442" s="3">
        <v>4.6330000000000003E-2</v>
      </c>
      <c r="G442" s="1">
        <v>-2.0899999999999998E-2</v>
      </c>
    </row>
    <row r="443" spans="2:7" x14ac:dyDescent="0.3">
      <c r="B443" s="2">
        <v>38991</v>
      </c>
      <c r="C443" s="3">
        <v>4.6039999999999998E-2</v>
      </c>
      <c r="D443" s="3">
        <v>4.6039999999999998E-2</v>
      </c>
      <c r="E443" s="3">
        <v>4.6039999999999998E-2</v>
      </c>
      <c r="F443" s="3">
        <v>4.6039999999999998E-2</v>
      </c>
      <c r="G443" s="1">
        <v>-6.3E-3</v>
      </c>
    </row>
    <row r="444" spans="2:7" x14ac:dyDescent="0.3">
      <c r="B444" s="2">
        <v>39022</v>
      </c>
      <c r="C444" s="3">
        <v>4.462E-2</v>
      </c>
      <c r="D444" s="3">
        <v>4.462E-2</v>
      </c>
      <c r="E444" s="3">
        <v>4.462E-2</v>
      </c>
      <c r="F444" s="3">
        <v>4.462E-2</v>
      </c>
      <c r="G444" s="1">
        <v>-3.0800000000000001E-2</v>
      </c>
    </row>
    <row r="445" spans="2:7" x14ac:dyDescent="0.3">
      <c r="B445" s="2">
        <v>39052</v>
      </c>
      <c r="C445" s="3">
        <v>4.7E-2</v>
      </c>
      <c r="D445" s="3">
        <v>4.7E-2</v>
      </c>
      <c r="E445" s="3">
        <v>4.7E-2</v>
      </c>
      <c r="F445" s="3">
        <v>4.7E-2</v>
      </c>
      <c r="G445" s="1">
        <v>5.33E-2</v>
      </c>
    </row>
    <row r="446" spans="2:7" x14ac:dyDescent="0.3">
      <c r="B446" s="2">
        <v>39083</v>
      </c>
      <c r="C446" s="3">
        <v>4.8140000000000002E-2</v>
      </c>
      <c r="D446" s="3">
        <v>4.8140000000000002E-2</v>
      </c>
      <c r="E446" s="3">
        <v>4.8140000000000002E-2</v>
      </c>
      <c r="F446" s="3">
        <v>4.8140000000000002E-2</v>
      </c>
      <c r="G446" s="1">
        <v>2.4299999999999999E-2</v>
      </c>
    </row>
    <row r="447" spans="2:7" x14ac:dyDescent="0.3">
      <c r="B447" s="2">
        <v>39114</v>
      </c>
      <c r="C447" s="3">
        <v>4.5769999999999998E-2</v>
      </c>
      <c r="D447" s="3">
        <v>4.5769999999999998E-2</v>
      </c>
      <c r="E447" s="3">
        <v>4.5769999999999998E-2</v>
      </c>
      <c r="F447" s="3">
        <v>4.5769999999999998E-2</v>
      </c>
      <c r="G447" s="1">
        <v>-4.9200000000000001E-2</v>
      </c>
    </row>
    <row r="448" spans="2:7" x14ac:dyDescent="0.3">
      <c r="B448" s="2">
        <v>39142</v>
      </c>
      <c r="C448" s="3">
        <v>4.6479999999999994E-2</v>
      </c>
      <c r="D448" s="3">
        <v>4.6479999999999994E-2</v>
      </c>
      <c r="E448" s="3">
        <v>4.6479999999999994E-2</v>
      </c>
      <c r="F448" s="3">
        <v>4.6479999999999994E-2</v>
      </c>
      <c r="G448" s="1">
        <v>1.55E-2</v>
      </c>
    </row>
    <row r="449" spans="2:7" x14ac:dyDescent="0.3">
      <c r="B449" s="2">
        <v>39173</v>
      </c>
      <c r="C449" s="3">
        <v>4.6280000000000002E-2</v>
      </c>
      <c r="D449" s="3">
        <v>4.6280000000000002E-2</v>
      </c>
      <c r="E449" s="3">
        <v>4.6280000000000002E-2</v>
      </c>
      <c r="F449" s="3">
        <v>4.6280000000000002E-2</v>
      </c>
      <c r="G449" s="1">
        <v>-4.3E-3</v>
      </c>
    </row>
    <row r="450" spans="2:7" x14ac:dyDescent="0.3">
      <c r="B450" s="2">
        <v>39203</v>
      </c>
      <c r="C450" s="3">
        <v>4.8920000000000005E-2</v>
      </c>
      <c r="D450" s="3">
        <v>4.8920000000000005E-2</v>
      </c>
      <c r="E450" s="3">
        <v>4.8920000000000005E-2</v>
      </c>
      <c r="F450" s="3">
        <v>4.8920000000000005E-2</v>
      </c>
      <c r="G450" s="1">
        <v>5.7000000000000002E-2</v>
      </c>
    </row>
    <row r="451" spans="2:7" x14ac:dyDescent="0.3">
      <c r="B451" s="2">
        <v>39234</v>
      </c>
      <c r="C451" s="3">
        <v>5.0270000000000002E-2</v>
      </c>
      <c r="D451" s="3">
        <v>5.0270000000000002E-2</v>
      </c>
      <c r="E451" s="3">
        <v>5.0270000000000002E-2</v>
      </c>
      <c r="F451" s="3">
        <v>5.0270000000000002E-2</v>
      </c>
      <c r="G451" s="1">
        <v>2.76E-2</v>
      </c>
    </row>
    <row r="452" spans="2:7" x14ac:dyDescent="0.3">
      <c r="B452" s="2">
        <v>39264</v>
      </c>
      <c r="C452" s="3">
        <v>4.7329999999999997E-2</v>
      </c>
      <c r="D452" s="3">
        <v>4.7329999999999997E-2</v>
      </c>
      <c r="E452" s="3">
        <v>4.7329999999999997E-2</v>
      </c>
      <c r="F452" s="3">
        <v>4.7329999999999997E-2</v>
      </c>
      <c r="G452" s="1">
        <v>-5.8500000000000003E-2</v>
      </c>
    </row>
    <row r="453" spans="2:7" x14ac:dyDescent="0.3">
      <c r="B453" s="2">
        <v>39295</v>
      </c>
      <c r="C453" s="3">
        <v>4.5270000000000005E-2</v>
      </c>
      <c r="D453" s="3">
        <v>4.5270000000000005E-2</v>
      </c>
      <c r="E453" s="3">
        <v>4.5270000000000005E-2</v>
      </c>
      <c r="F453" s="3">
        <v>4.5270000000000005E-2</v>
      </c>
      <c r="G453" s="1">
        <v>-4.3499999999999997E-2</v>
      </c>
    </row>
    <row r="454" spans="2:7" x14ac:dyDescent="0.3">
      <c r="B454" s="2">
        <v>39326</v>
      </c>
      <c r="C454" s="3">
        <v>4.5940000000000002E-2</v>
      </c>
      <c r="D454" s="3">
        <v>4.5940000000000002E-2</v>
      </c>
      <c r="E454" s="3">
        <v>4.5940000000000002E-2</v>
      </c>
      <c r="F454" s="3">
        <v>4.5940000000000002E-2</v>
      </c>
      <c r="G454" s="1">
        <v>1.4800000000000001E-2</v>
      </c>
    </row>
    <row r="455" spans="2:7" x14ac:dyDescent="0.3">
      <c r="B455" s="2">
        <v>39356</v>
      </c>
      <c r="C455" s="3">
        <v>4.4729999999999999E-2</v>
      </c>
      <c r="D455" s="3">
        <v>4.4729999999999999E-2</v>
      </c>
      <c r="E455" s="3">
        <v>4.4729999999999999E-2</v>
      </c>
      <c r="F455" s="3">
        <v>4.4729999999999999E-2</v>
      </c>
      <c r="G455" s="1">
        <v>-2.63E-2</v>
      </c>
    </row>
    <row r="456" spans="2:7" x14ac:dyDescent="0.3">
      <c r="B456" s="2">
        <v>39387</v>
      </c>
      <c r="C456" s="3">
        <v>3.9489999999999997E-2</v>
      </c>
      <c r="D456" s="3">
        <v>3.9489999999999997E-2</v>
      </c>
      <c r="E456" s="3">
        <v>3.9489999999999997E-2</v>
      </c>
      <c r="F456" s="3">
        <v>3.9489999999999997E-2</v>
      </c>
      <c r="G456" s="1">
        <v>-0.1171</v>
      </c>
    </row>
    <row r="457" spans="2:7" x14ac:dyDescent="0.3">
      <c r="B457" s="2">
        <v>39417</v>
      </c>
      <c r="C457" s="3">
        <v>4.0350000000000004E-2</v>
      </c>
      <c r="D457" s="3">
        <v>4.0350000000000004E-2</v>
      </c>
      <c r="E457" s="3">
        <v>4.0350000000000004E-2</v>
      </c>
      <c r="F457" s="3">
        <v>4.0350000000000004E-2</v>
      </c>
      <c r="G457" s="1">
        <v>2.18E-2</v>
      </c>
    </row>
    <row r="458" spans="2:7" x14ac:dyDescent="0.3">
      <c r="B458" s="2">
        <v>39448</v>
      </c>
      <c r="C458" s="3">
        <v>3.5970000000000002E-2</v>
      </c>
      <c r="D458" s="3">
        <v>3.5970000000000002E-2</v>
      </c>
      <c r="E458" s="3">
        <v>3.5970000000000002E-2</v>
      </c>
      <c r="F458" s="3">
        <v>3.5970000000000002E-2</v>
      </c>
      <c r="G458" s="1">
        <v>-0.1086</v>
      </c>
    </row>
    <row r="459" spans="2:7" x14ac:dyDescent="0.3">
      <c r="B459" s="2">
        <v>39479</v>
      </c>
      <c r="C459" s="3">
        <v>3.5189999999999999E-2</v>
      </c>
      <c r="D459" s="3">
        <v>3.5189999999999999E-2</v>
      </c>
      <c r="E459" s="3">
        <v>3.5189999999999999E-2</v>
      </c>
      <c r="F459" s="3">
        <v>3.5189999999999999E-2</v>
      </c>
      <c r="G459" s="1">
        <v>-2.1700000000000001E-2</v>
      </c>
    </row>
    <row r="460" spans="2:7" x14ac:dyDescent="0.3">
      <c r="B460" s="2">
        <v>39508</v>
      </c>
      <c r="C460" s="3">
        <v>3.4209999999999997E-2</v>
      </c>
      <c r="D460" s="3">
        <v>3.4209999999999997E-2</v>
      </c>
      <c r="E460" s="3">
        <v>3.4209999999999997E-2</v>
      </c>
      <c r="F460" s="3">
        <v>3.4209999999999997E-2</v>
      </c>
      <c r="G460" s="1">
        <v>-2.7799999999999998E-2</v>
      </c>
    </row>
    <row r="461" spans="2:7" x14ac:dyDescent="0.3">
      <c r="B461" s="2">
        <v>39539</v>
      </c>
      <c r="C461" s="3">
        <v>3.7339999999999998E-2</v>
      </c>
      <c r="D461" s="3">
        <v>3.7339999999999998E-2</v>
      </c>
      <c r="E461" s="3">
        <v>3.7339999999999998E-2</v>
      </c>
      <c r="F461" s="3">
        <v>3.7339999999999998E-2</v>
      </c>
      <c r="G461" s="1">
        <v>9.1499999999999998E-2</v>
      </c>
    </row>
    <row r="462" spans="2:7" x14ac:dyDescent="0.3">
      <c r="B462" s="2">
        <v>39569</v>
      </c>
      <c r="C462" s="3">
        <v>4.0670000000000005E-2</v>
      </c>
      <c r="D462" s="3">
        <v>3.7400000000000003E-2</v>
      </c>
      <c r="E462" s="3">
        <v>4.1410000000000002E-2</v>
      </c>
      <c r="F462" s="3">
        <v>3.6830000000000002E-2</v>
      </c>
      <c r="G462" s="1">
        <v>8.9200000000000002E-2</v>
      </c>
    </row>
    <row r="463" spans="2:7" x14ac:dyDescent="0.3">
      <c r="B463" s="2">
        <v>39600</v>
      </c>
      <c r="C463" s="3">
        <v>3.9750000000000001E-2</v>
      </c>
      <c r="D463" s="3">
        <v>4.0579999999999998E-2</v>
      </c>
      <c r="E463" s="3">
        <v>4.2880000000000001E-2</v>
      </c>
      <c r="F463" s="3">
        <v>3.8580000000000003E-2</v>
      </c>
      <c r="G463" s="1">
        <v>-2.2599999999999999E-2</v>
      </c>
    </row>
    <row r="464" spans="2:7" x14ac:dyDescent="0.3">
      <c r="B464" s="2">
        <v>39630</v>
      </c>
      <c r="C464" s="3">
        <v>3.9580000000000004E-2</v>
      </c>
      <c r="D464" s="3">
        <v>3.9670000000000004E-2</v>
      </c>
      <c r="E464" s="3">
        <v>4.1779999999999998E-2</v>
      </c>
      <c r="F464" s="3">
        <v>3.771E-2</v>
      </c>
      <c r="G464" s="1">
        <v>-4.3E-3</v>
      </c>
    </row>
    <row r="465" spans="2:7" x14ac:dyDescent="0.3">
      <c r="B465" s="2">
        <v>39661</v>
      </c>
      <c r="C465" s="3">
        <v>3.8249999999999999E-2</v>
      </c>
      <c r="D465" s="3">
        <v>3.9580000000000004E-2</v>
      </c>
      <c r="E465" s="3">
        <v>4.0940000000000004E-2</v>
      </c>
      <c r="F465" s="3">
        <v>3.7629999999999997E-2</v>
      </c>
      <c r="G465" s="1">
        <v>-3.3599999999999998E-2</v>
      </c>
    </row>
    <row r="466" spans="2:7" x14ac:dyDescent="0.3">
      <c r="B466" s="2">
        <v>39692</v>
      </c>
      <c r="C466" s="3">
        <v>3.8290000000000005E-2</v>
      </c>
      <c r="D466" s="3">
        <v>3.8269999999999998E-2</v>
      </c>
      <c r="E466" s="3">
        <v>3.909E-2</v>
      </c>
      <c r="F466" s="3">
        <v>3.2509999999999997E-2</v>
      </c>
      <c r="G466" s="1">
        <v>1E-3</v>
      </c>
    </row>
    <row r="467" spans="2:7" x14ac:dyDescent="0.3">
      <c r="B467" s="2">
        <v>39722</v>
      </c>
      <c r="C467" s="3">
        <v>3.9699999999999999E-2</v>
      </c>
      <c r="D467" s="3">
        <v>3.7479999999999999E-2</v>
      </c>
      <c r="E467" s="3">
        <v>4.1100000000000005E-2</v>
      </c>
      <c r="F467" s="3">
        <v>3.4020000000000002E-2</v>
      </c>
      <c r="G467" s="1">
        <v>3.6799999999999999E-2</v>
      </c>
    </row>
    <row r="468" spans="2:7" x14ac:dyDescent="0.3">
      <c r="B468" s="2">
        <v>39753</v>
      </c>
      <c r="C468" s="3">
        <v>2.92E-2</v>
      </c>
      <c r="D468" s="3">
        <v>3.959E-2</v>
      </c>
      <c r="E468" s="3">
        <v>3.984E-2</v>
      </c>
      <c r="F468" s="3">
        <v>2.9079999999999998E-2</v>
      </c>
      <c r="G468" s="1">
        <v>-0.26450000000000001</v>
      </c>
    </row>
    <row r="469" spans="2:7" x14ac:dyDescent="0.3">
      <c r="B469" s="2">
        <v>39783</v>
      </c>
      <c r="C469" s="3">
        <v>2.2200000000000001E-2</v>
      </c>
      <c r="D469" s="3">
        <v>2.9600000000000001E-2</v>
      </c>
      <c r="E469" s="3">
        <v>2.962E-2</v>
      </c>
      <c r="F469" s="3">
        <v>2.0400000000000001E-2</v>
      </c>
      <c r="G469" s="1">
        <v>-0.2397</v>
      </c>
    </row>
    <row r="470" spans="2:7" x14ac:dyDescent="0.3">
      <c r="B470" s="2">
        <v>39814</v>
      </c>
      <c r="C470" s="3">
        <v>2.8510000000000001E-2</v>
      </c>
      <c r="D470" s="3">
        <v>2.2499999999999999E-2</v>
      </c>
      <c r="E470" s="3">
        <v>2.894E-2</v>
      </c>
      <c r="F470" s="3">
        <v>2.1480000000000003E-2</v>
      </c>
      <c r="G470" s="1">
        <v>0.28420000000000001</v>
      </c>
    </row>
    <row r="471" spans="2:7" x14ac:dyDescent="0.3">
      <c r="B471" s="2">
        <v>39845</v>
      </c>
      <c r="C471" s="3">
        <v>3.0210000000000001E-2</v>
      </c>
      <c r="D471" s="3">
        <v>2.8510000000000001E-2</v>
      </c>
      <c r="E471" s="3">
        <v>3.058E-2</v>
      </c>
      <c r="F471" s="3">
        <v>2.6190000000000001E-2</v>
      </c>
      <c r="G471" s="1">
        <v>5.96E-2</v>
      </c>
    </row>
    <row r="472" spans="2:7" x14ac:dyDescent="0.3">
      <c r="B472" s="2">
        <v>39873</v>
      </c>
      <c r="C472" s="3">
        <v>2.6680000000000002E-2</v>
      </c>
      <c r="D472" s="3">
        <v>3.0200000000000001E-2</v>
      </c>
      <c r="E472" s="3">
        <v>3.0449999999999998E-2</v>
      </c>
      <c r="F472" s="3">
        <v>2.4620000000000003E-2</v>
      </c>
      <c r="G472" s="1">
        <v>-0.1168</v>
      </c>
    </row>
    <row r="473" spans="2:7" x14ac:dyDescent="0.3">
      <c r="B473" s="2">
        <v>39904</v>
      </c>
      <c r="C473" s="3">
        <v>3.1190000000000002E-2</v>
      </c>
      <c r="D473" s="3">
        <v>2.6680000000000002E-2</v>
      </c>
      <c r="E473" s="3">
        <v>3.1660000000000001E-2</v>
      </c>
      <c r="F473" s="3">
        <v>2.6499999999999999E-2</v>
      </c>
      <c r="G473" s="1">
        <v>0.16900000000000001</v>
      </c>
    </row>
    <row r="474" spans="2:7" x14ac:dyDescent="0.3">
      <c r="B474" s="2">
        <v>39934</v>
      </c>
      <c r="C474" s="3">
        <v>3.4610000000000002E-2</v>
      </c>
      <c r="D474" s="3">
        <v>3.1150000000000001E-2</v>
      </c>
      <c r="E474" s="3">
        <v>3.7539999999999997E-2</v>
      </c>
      <c r="F474" s="3">
        <v>3.0720000000000001E-2</v>
      </c>
      <c r="G474" s="1">
        <v>0.10970000000000001</v>
      </c>
    </row>
    <row r="475" spans="2:7" x14ac:dyDescent="0.3">
      <c r="B475" s="2">
        <v>39965</v>
      </c>
      <c r="C475" s="3">
        <v>3.5369999999999999E-2</v>
      </c>
      <c r="D475" s="3">
        <v>3.492E-2</v>
      </c>
      <c r="E475" s="3">
        <v>4.0079999999999998E-2</v>
      </c>
      <c r="F475" s="3">
        <v>3.4540000000000001E-2</v>
      </c>
      <c r="G475" s="1">
        <v>2.1999999999999999E-2</v>
      </c>
    </row>
    <row r="476" spans="2:7" x14ac:dyDescent="0.3">
      <c r="B476" s="2">
        <v>39995</v>
      </c>
      <c r="C476" s="3">
        <v>3.4820000000000004E-2</v>
      </c>
      <c r="D476" s="3">
        <v>3.5270000000000003E-2</v>
      </c>
      <c r="E476" s="3">
        <v>3.7659999999999999E-2</v>
      </c>
      <c r="F476" s="3">
        <v>3.261E-2</v>
      </c>
      <c r="G476" s="1">
        <v>-1.55E-2</v>
      </c>
    </row>
    <row r="477" spans="2:7" x14ac:dyDescent="0.3">
      <c r="B477" s="2">
        <v>40026</v>
      </c>
      <c r="C477" s="3">
        <v>3.4009999999999999E-2</v>
      </c>
      <c r="D477" s="3">
        <v>3.5119999999999998E-2</v>
      </c>
      <c r="E477" s="3">
        <v>3.8929999999999999E-2</v>
      </c>
      <c r="F477" s="3">
        <v>3.3739999999999999E-2</v>
      </c>
      <c r="G477" s="1">
        <v>-2.3300000000000001E-2</v>
      </c>
    </row>
    <row r="478" spans="2:7" x14ac:dyDescent="0.3">
      <c r="B478" s="2">
        <v>40057</v>
      </c>
      <c r="C478" s="3">
        <v>3.3050000000000003E-2</v>
      </c>
      <c r="D478" s="3">
        <v>3.4029999999999998E-2</v>
      </c>
      <c r="E478" s="3">
        <v>3.5339999999999996E-2</v>
      </c>
      <c r="F478" s="3">
        <v>3.2719999999999999E-2</v>
      </c>
      <c r="G478" s="1">
        <v>-2.8199999999999999E-2</v>
      </c>
    </row>
    <row r="479" spans="2:7" x14ac:dyDescent="0.3">
      <c r="B479" s="2">
        <v>40087</v>
      </c>
      <c r="C479" s="3">
        <v>3.388E-2</v>
      </c>
      <c r="D479" s="3">
        <v>3.3180000000000001E-2</v>
      </c>
      <c r="E479" s="3">
        <v>3.5810000000000002E-2</v>
      </c>
      <c r="F479" s="3">
        <v>3.1059999999999997E-2</v>
      </c>
      <c r="G479" s="1">
        <v>2.5100000000000001E-2</v>
      </c>
    </row>
    <row r="480" spans="2:7" x14ac:dyDescent="0.3">
      <c r="B480" s="2">
        <v>40118</v>
      </c>
      <c r="C480" s="3">
        <v>3.1980000000000001E-2</v>
      </c>
      <c r="D480" s="3">
        <v>3.3959999999999997E-2</v>
      </c>
      <c r="E480" s="3">
        <v>3.5630000000000002E-2</v>
      </c>
      <c r="F480" s="3">
        <v>3.1539999999999999E-2</v>
      </c>
      <c r="G480" s="1">
        <v>-5.6099999999999997E-2</v>
      </c>
    </row>
    <row r="481" spans="2:7" x14ac:dyDescent="0.3">
      <c r="B481" s="2">
        <v>40148</v>
      </c>
      <c r="C481" s="3">
        <v>3.8370000000000001E-2</v>
      </c>
      <c r="D481" s="3">
        <v>3.2070000000000001E-2</v>
      </c>
      <c r="E481" s="3">
        <v>3.918E-2</v>
      </c>
      <c r="F481" s="3">
        <v>3.1960000000000002E-2</v>
      </c>
      <c r="G481" s="1">
        <v>0.19980000000000001</v>
      </c>
    </row>
    <row r="482" spans="2:7" x14ac:dyDescent="0.3">
      <c r="B482" s="2">
        <v>40179</v>
      </c>
      <c r="C482" s="3">
        <v>3.5880000000000002E-2</v>
      </c>
      <c r="D482" s="3">
        <v>3.8580000000000003E-2</v>
      </c>
      <c r="E482" s="3">
        <v>3.9039999999999998E-2</v>
      </c>
      <c r="F482" s="3">
        <v>3.5630000000000002E-2</v>
      </c>
      <c r="G482" s="1">
        <v>-6.4899999999999999E-2</v>
      </c>
    </row>
    <row r="483" spans="2:7" x14ac:dyDescent="0.3">
      <c r="B483" s="2">
        <v>40210</v>
      </c>
      <c r="C483" s="3">
        <v>3.619E-2</v>
      </c>
      <c r="D483" s="3">
        <v>3.6060000000000002E-2</v>
      </c>
      <c r="E483" s="3">
        <v>3.8280000000000002E-2</v>
      </c>
      <c r="F483" s="3">
        <v>3.5369999999999999E-2</v>
      </c>
      <c r="G483" s="1">
        <v>8.6E-3</v>
      </c>
    </row>
    <row r="484" spans="2:7" x14ac:dyDescent="0.3">
      <c r="B484" s="2">
        <v>40238</v>
      </c>
      <c r="C484" s="3">
        <v>3.8330000000000003E-2</v>
      </c>
      <c r="D484" s="3">
        <v>3.6249999999999998E-2</v>
      </c>
      <c r="E484" s="3">
        <v>3.9280000000000002E-2</v>
      </c>
      <c r="F484" s="3">
        <v>3.5929999999999997E-2</v>
      </c>
      <c r="G484" s="1">
        <v>5.91E-2</v>
      </c>
    </row>
    <row r="485" spans="2:7" x14ac:dyDescent="0.3">
      <c r="B485" s="2">
        <v>40269</v>
      </c>
      <c r="C485" s="3">
        <v>3.6589999999999998E-2</v>
      </c>
      <c r="D485" s="3">
        <v>3.8390000000000001E-2</v>
      </c>
      <c r="E485" s="3">
        <v>4.0129999999999999E-2</v>
      </c>
      <c r="F485" s="3">
        <v>3.6549999999999999E-2</v>
      </c>
      <c r="G485" s="1">
        <v>-4.5400000000000003E-2</v>
      </c>
    </row>
    <row r="486" spans="2:7" x14ac:dyDescent="0.3">
      <c r="B486" s="2">
        <v>40299</v>
      </c>
      <c r="C486" s="3">
        <v>3.3029999999999997E-2</v>
      </c>
      <c r="D486" s="3">
        <v>3.6629999999999996E-2</v>
      </c>
      <c r="E486" s="3">
        <v>3.7130000000000003E-2</v>
      </c>
      <c r="F486" s="3">
        <v>3.0640000000000001E-2</v>
      </c>
      <c r="G486" s="1">
        <v>-9.7299999999999998E-2</v>
      </c>
    </row>
    <row r="487" spans="2:7" x14ac:dyDescent="0.3">
      <c r="B487" s="2">
        <v>40330</v>
      </c>
      <c r="C487" s="3">
        <v>2.9350000000000001E-2</v>
      </c>
      <c r="D487" s="3">
        <v>3.3000000000000002E-2</v>
      </c>
      <c r="E487" s="3">
        <v>3.4270000000000002E-2</v>
      </c>
      <c r="F487" s="3">
        <v>2.928E-2</v>
      </c>
      <c r="G487" s="1">
        <v>-0.1114</v>
      </c>
    </row>
    <row r="488" spans="2:7" x14ac:dyDescent="0.3">
      <c r="B488" s="2">
        <v>40360</v>
      </c>
      <c r="C488" s="3">
        <v>2.9049999999999999E-2</v>
      </c>
      <c r="D488" s="3">
        <v>2.9420000000000002E-2</v>
      </c>
      <c r="E488" s="3">
        <v>3.1320000000000001E-2</v>
      </c>
      <c r="F488" s="3">
        <v>2.8549999999999999E-2</v>
      </c>
      <c r="G488" s="1">
        <v>-1.0200000000000001E-2</v>
      </c>
    </row>
    <row r="489" spans="2:7" x14ac:dyDescent="0.3">
      <c r="B489" s="2">
        <v>40391</v>
      </c>
      <c r="C489" s="3">
        <v>2.4700000000000003E-2</v>
      </c>
      <c r="D489" s="3">
        <v>2.9249999999999998E-2</v>
      </c>
      <c r="E489" s="3">
        <v>2.972E-2</v>
      </c>
      <c r="F489" s="3">
        <v>2.419E-2</v>
      </c>
      <c r="G489" s="1">
        <v>-0.1497</v>
      </c>
    </row>
    <row r="490" spans="2:7" x14ac:dyDescent="0.3">
      <c r="B490" s="2">
        <v>40422</v>
      </c>
      <c r="C490" s="3">
        <v>2.512E-2</v>
      </c>
      <c r="D490" s="3">
        <v>2.4820000000000002E-2</v>
      </c>
      <c r="E490" s="3">
        <v>2.8490000000000001E-2</v>
      </c>
      <c r="F490" s="3">
        <v>2.4489999999999998E-2</v>
      </c>
      <c r="G490" s="1">
        <v>1.7000000000000001E-2</v>
      </c>
    </row>
    <row r="491" spans="2:7" x14ac:dyDescent="0.3">
      <c r="B491" s="2">
        <v>40452</v>
      </c>
      <c r="C491" s="3">
        <v>2.6030000000000001E-2</v>
      </c>
      <c r="D491" s="3">
        <v>2.5150000000000002E-2</v>
      </c>
      <c r="E491" s="3">
        <v>2.7309999999999997E-2</v>
      </c>
      <c r="F491" s="3">
        <v>2.334E-2</v>
      </c>
      <c r="G491" s="1">
        <v>3.6200000000000003E-2</v>
      </c>
    </row>
    <row r="492" spans="2:7" x14ac:dyDescent="0.3">
      <c r="B492" s="2">
        <v>40483</v>
      </c>
      <c r="C492" s="3">
        <v>2.7970000000000002E-2</v>
      </c>
      <c r="D492" s="3">
        <v>2.6210000000000001E-2</v>
      </c>
      <c r="E492" s="3">
        <v>2.9670000000000002E-2</v>
      </c>
      <c r="F492" s="3">
        <v>2.4580000000000001E-2</v>
      </c>
      <c r="G492" s="1">
        <v>7.4499999999999997E-2</v>
      </c>
    </row>
    <row r="493" spans="2:7" x14ac:dyDescent="0.3">
      <c r="B493" s="2">
        <v>40513</v>
      </c>
      <c r="C493" s="3">
        <v>3.288E-2</v>
      </c>
      <c r="D493" s="3">
        <v>2.809E-2</v>
      </c>
      <c r="E493" s="3">
        <v>3.5680000000000003E-2</v>
      </c>
      <c r="F493" s="3">
        <v>2.7970000000000002E-2</v>
      </c>
      <c r="G493" s="1">
        <v>0.17549999999999999</v>
      </c>
    </row>
    <row r="494" spans="2:7" x14ac:dyDescent="0.3">
      <c r="B494" s="2">
        <v>40544</v>
      </c>
      <c r="C494" s="3">
        <v>3.3739999999999999E-2</v>
      </c>
      <c r="D494" s="3">
        <v>3.3050000000000003E-2</v>
      </c>
      <c r="E494" s="3">
        <v>3.4970000000000001E-2</v>
      </c>
      <c r="F494" s="3">
        <v>3.2530000000000003E-2</v>
      </c>
      <c r="G494" s="1">
        <v>2.6200000000000001E-2</v>
      </c>
    </row>
    <row r="495" spans="2:7" x14ac:dyDescent="0.3">
      <c r="B495" s="2">
        <v>40575</v>
      </c>
      <c r="C495" s="3">
        <v>3.422E-2</v>
      </c>
      <c r="D495" s="3">
        <v>3.372E-2</v>
      </c>
      <c r="E495" s="3">
        <v>3.7699999999999997E-2</v>
      </c>
      <c r="F495" s="3">
        <v>3.372E-2</v>
      </c>
      <c r="G495" s="1">
        <v>1.4200000000000001E-2</v>
      </c>
    </row>
    <row r="496" spans="2:7" x14ac:dyDescent="0.3">
      <c r="B496" s="2">
        <v>40603</v>
      </c>
      <c r="C496" s="3">
        <v>3.4700000000000002E-2</v>
      </c>
      <c r="D496" s="3">
        <v>3.44E-2</v>
      </c>
      <c r="E496" s="3">
        <v>3.5979999999999998E-2</v>
      </c>
      <c r="F496" s="3">
        <v>3.143E-2</v>
      </c>
      <c r="G496" s="1">
        <v>1.4E-2</v>
      </c>
    </row>
    <row r="497" spans="2:7" x14ac:dyDescent="0.3">
      <c r="B497" s="2">
        <v>40634</v>
      </c>
      <c r="C497" s="3">
        <v>3.2899999999999999E-2</v>
      </c>
      <c r="D497" s="3">
        <v>3.4759999999999999E-2</v>
      </c>
      <c r="E497" s="3">
        <v>3.619E-2</v>
      </c>
      <c r="F497" s="3">
        <v>3.2829999999999998E-2</v>
      </c>
      <c r="G497" s="1">
        <v>-5.1900000000000002E-2</v>
      </c>
    </row>
    <row r="498" spans="2:7" x14ac:dyDescent="0.3">
      <c r="B498" s="2">
        <v>40664</v>
      </c>
      <c r="C498" s="3">
        <v>3.0590000000000003E-2</v>
      </c>
      <c r="D498" s="3">
        <v>3.2969999999999999E-2</v>
      </c>
      <c r="E498" s="3">
        <v>3.3230000000000003E-2</v>
      </c>
      <c r="F498" s="3">
        <v>3.041E-2</v>
      </c>
      <c r="G498" s="1">
        <v>-7.0199999999999999E-2</v>
      </c>
    </row>
    <row r="499" spans="2:7" x14ac:dyDescent="0.3">
      <c r="B499" s="2">
        <v>40695</v>
      </c>
      <c r="C499" s="3">
        <v>3.1600000000000003E-2</v>
      </c>
      <c r="D499" s="3">
        <v>3.0699999999999998E-2</v>
      </c>
      <c r="E499" s="3">
        <v>3.2210000000000003E-2</v>
      </c>
      <c r="F499" s="3">
        <v>2.8420000000000001E-2</v>
      </c>
      <c r="G499" s="1">
        <v>3.3099999999999997E-2</v>
      </c>
    </row>
    <row r="500" spans="2:7" x14ac:dyDescent="0.3">
      <c r="B500" s="2">
        <v>40725</v>
      </c>
      <c r="C500" s="3">
        <v>2.793E-2</v>
      </c>
      <c r="D500" s="3">
        <v>3.1620000000000002E-2</v>
      </c>
      <c r="E500" s="3">
        <v>3.2230000000000002E-2</v>
      </c>
      <c r="F500" s="3">
        <v>2.7730000000000001E-2</v>
      </c>
      <c r="G500" s="1">
        <v>-0.1163</v>
      </c>
    </row>
    <row r="501" spans="2:7" x14ac:dyDescent="0.3">
      <c r="B501" s="2">
        <v>40756</v>
      </c>
      <c r="C501" s="3">
        <v>2.2339999999999999E-2</v>
      </c>
      <c r="D501" s="3">
        <v>2.8199999999999999E-2</v>
      </c>
      <c r="E501" s="3">
        <v>2.8580000000000001E-2</v>
      </c>
      <c r="F501" s="3">
        <v>1.976E-2</v>
      </c>
      <c r="G501" s="1">
        <v>-0.2</v>
      </c>
    </row>
    <row r="502" spans="2:7" x14ac:dyDescent="0.3">
      <c r="B502" s="2">
        <v>40787</v>
      </c>
      <c r="C502" s="3">
        <v>1.917E-2</v>
      </c>
      <c r="D502" s="3">
        <v>2.222E-2</v>
      </c>
      <c r="E502" s="3">
        <v>2.2780000000000002E-2</v>
      </c>
      <c r="F502" s="3">
        <v>1.6739999999999998E-2</v>
      </c>
      <c r="G502" s="1">
        <v>-0.14180000000000001</v>
      </c>
    </row>
    <row r="503" spans="2:7" x14ac:dyDescent="0.3">
      <c r="B503" s="2">
        <v>40817</v>
      </c>
      <c r="C503" s="3">
        <v>2.1160000000000002E-2</v>
      </c>
      <c r="D503" s="3">
        <v>1.9189999999999999E-2</v>
      </c>
      <c r="E503" s="3">
        <v>2.4199999999999999E-2</v>
      </c>
      <c r="F503" s="3">
        <v>1.7170000000000001E-2</v>
      </c>
      <c r="G503" s="1">
        <v>0.1037</v>
      </c>
    </row>
    <row r="504" spans="2:7" x14ac:dyDescent="0.3">
      <c r="B504" s="2">
        <v>40848</v>
      </c>
      <c r="C504" s="3">
        <v>2.0720000000000002E-2</v>
      </c>
      <c r="D504" s="3">
        <v>2.1349999999999997E-2</v>
      </c>
      <c r="E504" s="3">
        <v>2.1530000000000001E-2</v>
      </c>
      <c r="F504" s="3">
        <v>1.8720000000000001E-2</v>
      </c>
      <c r="G504" s="1">
        <v>-2.1000000000000001E-2</v>
      </c>
    </row>
    <row r="505" spans="2:7" x14ac:dyDescent="0.3">
      <c r="B505" s="2">
        <v>40878</v>
      </c>
      <c r="C505" s="3">
        <v>1.8759999999999999E-2</v>
      </c>
      <c r="D505" s="3">
        <v>2.0790000000000003E-2</v>
      </c>
      <c r="E505" s="3">
        <v>2.1669999999999998E-2</v>
      </c>
      <c r="F505" s="3">
        <v>1.7979999999999999E-2</v>
      </c>
      <c r="G505" s="1">
        <v>-9.4299999999999995E-2</v>
      </c>
    </row>
    <row r="506" spans="2:7" x14ac:dyDescent="0.3">
      <c r="B506" s="2">
        <v>40909</v>
      </c>
      <c r="C506" s="3">
        <v>1.7950000000000001E-2</v>
      </c>
      <c r="D506" s="3">
        <v>1.8759999999999999E-2</v>
      </c>
      <c r="E506" s="3">
        <v>2.094E-2</v>
      </c>
      <c r="F506" s="3">
        <v>1.7920000000000002E-2</v>
      </c>
      <c r="G506" s="1">
        <v>-4.3099999999999999E-2</v>
      </c>
    </row>
    <row r="507" spans="2:7" x14ac:dyDescent="0.3">
      <c r="B507" s="2">
        <v>40940</v>
      </c>
      <c r="C507" s="3">
        <v>1.9740000000000001E-2</v>
      </c>
      <c r="D507" s="3">
        <v>1.797E-2</v>
      </c>
      <c r="E507" s="3">
        <v>2.0799999999999999E-2</v>
      </c>
      <c r="F507" s="3">
        <v>1.797E-2</v>
      </c>
      <c r="G507" s="1">
        <v>9.9500000000000005E-2</v>
      </c>
    </row>
    <row r="508" spans="2:7" x14ac:dyDescent="0.3">
      <c r="B508" s="2">
        <v>40969</v>
      </c>
      <c r="C508" s="3">
        <v>2.214E-2</v>
      </c>
      <c r="D508" s="3">
        <v>1.983E-2</v>
      </c>
      <c r="E508" s="3">
        <v>2.3990000000000001E-2</v>
      </c>
      <c r="F508" s="3">
        <v>1.9310000000000001E-2</v>
      </c>
      <c r="G508" s="1">
        <v>0.1217</v>
      </c>
    </row>
    <row r="509" spans="2:7" x14ac:dyDescent="0.3">
      <c r="B509" s="2">
        <v>41000</v>
      </c>
      <c r="C509" s="3">
        <v>1.9189999999999999E-2</v>
      </c>
      <c r="D509" s="3">
        <v>2.2370000000000001E-2</v>
      </c>
      <c r="E509" s="3">
        <v>2.308E-2</v>
      </c>
      <c r="F509" s="3">
        <v>1.8839999999999999E-2</v>
      </c>
      <c r="G509" s="1">
        <v>-0.1333</v>
      </c>
    </row>
    <row r="510" spans="2:7" x14ac:dyDescent="0.3">
      <c r="B510" s="2">
        <v>41030</v>
      </c>
      <c r="C510" s="3">
        <v>1.5629999999999998E-2</v>
      </c>
      <c r="D510" s="3">
        <v>1.9189999999999999E-2</v>
      </c>
      <c r="E510" s="3">
        <v>1.966E-2</v>
      </c>
      <c r="F510" s="3">
        <v>1.533E-2</v>
      </c>
      <c r="G510" s="1">
        <v>-0.18559999999999999</v>
      </c>
    </row>
    <row r="511" spans="2:7" x14ac:dyDescent="0.3">
      <c r="B511" s="2">
        <v>41061</v>
      </c>
      <c r="C511" s="3">
        <v>1.643E-2</v>
      </c>
      <c r="D511" s="3">
        <v>1.5700000000000002E-2</v>
      </c>
      <c r="E511" s="3">
        <v>1.728E-2</v>
      </c>
      <c r="F511" s="3">
        <v>1.4419999999999999E-2</v>
      </c>
      <c r="G511" s="1">
        <v>5.1400000000000001E-2</v>
      </c>
    </row>
    <row r="512" spans="2:7" x14ac:dyDescent="0.3">
      <c r="B512" s="2">
        <v>41091</v>
      </c>
      <c r="C512" s="3">
        <v>1.47E-2</v>
      </c>
      <c r="D512" s="3">
        <v>1.652E-2</v>
      </c>
      <c r="E512" s="3">
        <v>1.66E-2</v>
      </c>
      <c r="F512" s="3">
        <v>1.3809999999999999E-2</v>
      </c>
      <c r="G512" s="1">
        <v>-0.1056</v>
      </c>
    </row>
    <row r="513" spans="2:7" x14ac:dyDescent="0.3">
      <c r="B513" s="2">
        <v>41122</v>
      </c>
      <c r="C513" s="3">
        <v>1.5480000000000001E-2</v>
      </c>
      <c r="D513" s="3">
        <v>1.468E-2</v>
      </c>
      <c r="E513" s="3">
        <v>1.8630000000000001E-2</v>
      </c>
      <c r="F513" s="3">
        <v>1.4459999999999999E-2</v>
      </c>
      <c r="G513" s="1">
        <v>5.3600000000000002E-2</v>
      </c>
    </row>
    <row r="514" spans="2:7" x14ac:dyDescent="0.3">
      <c r="B514" s="2">
        <v>41153</v>
      </c>
      <c r="C514" s="3">
        <v>1.6330000000000001E-2</v>
      </c>
      <c r="D514" s="3">
        <v>1.5520000000000001E-2</v>
      </c>
      <c r="E514" s="3">
        <v>1.8939999999999999E-2</v>
      </c>
      <c r="F514" s="3">
        <v>1.542E-2</v>
      </c>
      <c r="G514" s="1">
        <v>5.5E-2</v>
      </c>
    </row>
    <row r="515" spans="2:7" x14ac:dyDescent="0.3">
      <c r="B515" s="2">
        <v>41183</v>
      </c>
      <c r="C515" s="3">
        <v>1.694E-2</v>
      </c>
      <c r="D515" s="3">
        <v>1.6230000000000001E-2</v>
      </c>
      <c r="E515" s="3">
        <v>1.856E-2</v>
      </c>
      <c r="F515" s="3">
        <v>1.5990000000000001E-2</v>
      </c>
      <c r="G515" s="1">
        <v>3.73E-2</v>
      </c>
    </row>
    <row r="516" spans="2:7" x14ac:dyDescent="0.3">
      <c r="B516" s="2">
        <v>41214</v>
      </c>
      <c r="C516" s="3">
        <v>1.6160000000000001E-2</v>
      </c>
      <c r="D516" s="3">
        <v>1.702E-2</v>
      </c>
      <c r="E516" s="3">
        <v>1.7809999999999999E-2</v>
      </c>
      <c r="F516" s="3">
        <v>1.5560000000000001E-2</v>
      </c>
      <c r="G516" s="1">
        <v>-4.6100000000000002E-2</v>
      </c>
    </row>
    <row r="517" spans="2:7" x14ac:dyDescent="0.3">
      <c r="B517" s="2">
        <v>41244</v>
      </c>
      <c r="C517" s="3">
        <v>1.7569999999999999E-2</v>
      </c>
      <c r="D517" s="3">
        <v>1.618E-2</v>
      </c>
      <c r="E517" s="3">
        <v>1.847E-2</v>
      </c>
      <c r="F517" s="3">
        <v>1.5640000000000001E-2</v>
      </c>
      <c r="G517" s="1">
        <v>8.6699999999999999E-2</v>
      </c>
    </row>
    <row r="518" spans="2:7" x14ac:dyDescent="0.3">
      <c r="B518" s="2">
        <v>41275</v>
      </c>
      <c r="C518" s="3">
        <v>1.985E-2</v>
      </c>
      <c r="D518" s="3">
        <v>1.7569999999999999E-2</v>
      </c>
      <c r="E518" s="3">
        <v>2.0369999999999999E-2</v>
      </c>
      <c r="F518" s="3">
        <v>1.7569999999999999E-2</v>
      </c>
      <c r="G518" s="1">
        <v>0.13</v>
      </c>
    </row>
    <row r="519" spans="2:7" x14ac:dyDescent="0.3">
      <c r="B519" s="2">
        <v>41306</v>
      </c>
      <c r="C519" s="3">
        <v>1.881E-2</v>
      </c>
      <c r="D519" s="3">
        <v>1.9900000000000001E-2</v>
      </c>
      <c r="E519" s="3">
        <v>2.0640000000000002E-2</v>
      </c>
      <c r="F519" s="3">
        <v>1.8360000000000001E-2</v>
      </c>
      <c r="G519" s="1">
        <v>-5.2400000000000002E-2</v>
      </c>
    </row>
    <row r="520" spans="2:7" x14ac:dyDescent="0.3">
      <c r="B520" s="2">
        <v>41334</v>
      </c>
      <c r="C520" s="3">
        <v>1.8520000000000002E-2</v>
      </c>
      <c r="D520" s="3">
        <v>1.8769999999999998E-2</v>
      </c>
      <c r="E520" s="3">
        <v>2.0870000000000003E-2</v>
      </c>
      <c r="F520" s="3">
        <v>1.8269999999999998E-2</v>
      </c>
      <c r="G520" s="1">
        <v>-1.5299999999999999E-2</v>
      </c>
    </row>
    <row r="521" spans="2:7" x14ac:dyDescent="0.3">
      <c r="B521" s="2">
        <v>41365</v>
      </c>
      <c r="C521" s="3">
        <v>1.6730000000000002E-2</v>
      </c>
      <c r="D521" s="3">
        <v>1.8749999999999999E-2</v>
      </c>
      <c r="E521" s="3">
        <v>1.8879999999999997E-2</v>
      </c>
      <c r="F521" s="3">
        <v>1.6379999999999999E-2</v>
      </c>
      <c r="G521" s="1">
        <v>-9.6500000000000002E-2</v>
      </c>
    </row>
    <row r="522" spans="2:7" x14ac:dyDescent="0.3">
      <c r="B522" s="2">
        <v>41395</v>
      </c>
      <c r="C522" s="3">
        <v>2.1320000000000002E-2</v>
      </c>
      <c r="D522" s="3">
        <v>1.668E-2</v>
      </c>
      <c r="E522" s="3">
        <v>2.2349999999999998E-2</v>
      </c>
      <c r="F522" s="3">
        <v>1.6140000000000002E-2</v>
      </c>
      <c r="G522" s="1">
        <v>0.27389999999999998</v>
      </c>
    </row>
    <row r="523" spans="2:7" x14ac:dyDescent="0.3">
      <c r="B523" s="2">
        <v>41426</v>
      </c>
      <c r="C523" s="3">
        <v>2.487E-2</v>
      </c>
      <c r="D523" s="3">
        <v>2.1569999999999999E-2</v>
      </c>
      <c r="E523" s="3">
        <v>2.6669999999999999E-2</v>
      </c>
      <c r="F523" s="3">
        <v>1.9990000000000001E-2</v>
      </c>
      <c r="G523" s="1">
        <v>0.16689999999999999</v>
      </c>
    </row>
    <row r="524" spans="2:7" x14ac:dyDescent="0.3">
      <c r="B524" s="2">
        <v>41456</v>
      </c>
      <c r="C524" s="3">
        <v>2.588E-2</v>
      </c>
      <c r="D524" s="3">
        <v>2.495E-2</v>
      </c>
      <c r="E524" s="3">
        <v>2.7549999999999998E-2</v>
      </c>
      <c r="F524" s="3">
        <v>2.4150000000000001E-2</v>
      </c>
      <c r="G524" s="1">
        <v>4.02E-2</v>
      </c>
    </row>
    <row r="525" spans="2:7" x14ac:dyDescent="0.3">
      <c r="B525" s="2">
        <v>41487</v>
      </c>
      <c r="C525" s="3">
        <v>2.7890000000000002E-2</v>
      </c>
      <c r="D525" s="3">
        <v>2.5840000000000002E-2</v>
      </c>
      <c r="E525" s="3">
        <v>2.9360000000000001E-2</v>
      </c>
      <c r="F525" s="3">
        <v>2.5520000000000001E-2</v>
      </c>
      <c r="G525" s="1">
        <v>7.8E-2</v>
      </c>
    </row>
    <row r="526" spans="2:7" x14ac:dyDescent="0.3">
      <c r="B526" s="2">
        <v>41518</v>
      </c>
      <c r="C526" s="3">
        <v>2.6150000000000003E-2</v>
      </c>
      <c r="D526" s="3">
        <v>2.8370000000000003E-2</v>
      </c>
      <c r="E526" s="3">
        <v>3.007E-2</v>
      </c>
      <c r="F526" s="3">
        <v>2.5899999999999999E-2</v>
      </c>
      <c r="G526" s="1">
        <v>-6.2399999999999997E-2</v>
      </c>
    </row>
    <row r="527" spans="2:7" x14ac:dyDescent="0.3">
      <c r="B527" s="2">
        <v>41548</v>
      </c>
      <c r="C527" s="3">
        <v>2.5520000000000001E-2</v>
      </c>
      <c r="D527" s="3">
        <v>2.614E-2</v>
      </c>
      <c r="E527" s="3">
        <v>2.759E-2</v>
      </c>
      <c r="F527" s="3">
        <v>2.4709999999999999E-2</v>
      </c>
      <c r="G527" s="1">
        <v>-2.41E-2</v>
      </c>
    </row>
    <row r="528" spans="2:7" x14ac:dyDescent="0.3">
      <c r="B528" s="2">
        <v>41579</v>
      </c>
      <c r="C528" s="3">
        <v>2.7459999999999998E-2</v>
      </c>
      <c r="D528" s="3">
        <v>2.5600000000000001E-2</v>
      </c>
      <c r="E528" s="3">
        <v>2.8389999999999999E-2</v>
      </c>
      <c r="F528" s="3">
        <v>2.5539999999999997E-2</v>
      </c>
      <c r="G528" s="1">
        <v>7.5999999999999998E-2</v>
      </c>
    </row>
    <row r="529" spans="2:7" x14ac:dyDescent="0.3">
      <c r="B529" s="2">
        <v>41609</v>
      </c>
      <c r="C529" s="3">
        <v>3.0259999999999999E-2</v>
      </c>
      <c r="D529" s="3">
        <v>2.7530000000000002E-2</v>
      </c>
      <c r="E529" s="3">
        <v>3.0360000000000002E-2</v>
      </c>
      <c r="F529" s="3">
        <v>2.7519999999999999E-2</v>
      </c>
      <c r="G529" s="1">
        <v>0.10199999999999999</v>
      </c>
    </row>
    <row r="530" spans="2:7" x14ac:dyDescent="0.3">
      <c r="B530" s="2">
        <v>41640</v>
      </c>
      <c r="C530" s="3">
        <v>2.6440000000000002E-2</v>
      </c>
      <c r="D530" s="3">
        <v>3.0379999999999997E-2</v>
      </c>
      <c r="E530" s="3">
        <v>3.041E-2</v>
      </c>
      <c r="F530" s="3">
        <v>2.6459999999999997E-2</v>
      </c>
      <c r="G530" s="1">
        <v>-0.1263</v>
      </c>
    </row>
    <row r="531" spans="2:7" x14ac:dyDescent="0.3">
      <c r="B531" s="2">
        <v>41671</v>
      </c>
      <c r="C531" s="3">
        <v>2.649E-2</v>
      </c>
      <c r="D531" s="3">
        <v>2.666E-2</v>
      </c>
      <c r="E531" s="3">
        <v>2.7859999999999999E-2</v>
      </c>
      <c r="F531" s="3">
        <v>2.5699999999999997E-2</v>
      </c>
      <c r="G531" s="1">
        <v>2E-3</v>
      </c>
    </row>
    <row r="532" spans="2:7" x14ac:dyDescent="0.3">
      <c r="B532" s="2">
        <v>41699</v>
      </c>
      <c r="C532" s="3">
        <v>2.7189999999999999E-2</v>
      </c>
      <c r="D532" s="3">
        <v>2.6099999999999998E-2</v>
      </c>
      <c r="E532" s="3">
        <v>2.8210000000000002E-2</v>
      </c>
      <c r="F532" s="3">
        <v>2.5920000000000002E-2</v>
      </c>
      <c r="G532" s="1">
        <v>2.63E-2</v>
      </c>
    </row>
    <row r="533" spans="2:7" x14ac:dyDescent="0.3">
      <c r="B533" s="2">
        <v>41730</v>
      </c>
      <c r="C533" s="3">
        <v>2.6459999999999997E-2</v>
      </c>
      <c r="D533" s="3">
        <v>2.726E-2</v>
      </c>
      <c r="E533" s="3">
        <v>2.81E-2</v>
      </c>
      <c r="F533" s="3">
        <v>2.596E-2</v>
      </c>
      <c r="G533" s="1">
        <v>-2.69E-2</v>
      </c>
    </row>
    <row r="534" spans="2:7" x14ac:dyDescent="0.3">
      <c r="B534" s="2">
        <v>41760</v>
      </c>
      <c r="C534" s="3">
        <v>2.4750000000000001E-2</v>
      </c>
      <c r="D534" s="3">
        <v>2.6589999999999999E-2</v>
      </c>
      <c r="E534" s="3">
        <v>2.7000000000000003E-2</v>
      </c>
      <c r="F534" s="3">
        <v>2.402E-2</v>
      </c>
      <c r="G534" s="1">
        <v>-6.4600000000000005E-2</v>
      </c>
    </row>
    <row r="535" spans="2:7" x14ac:dyDescent="0.3">
      <c r="B535" s="2">
        <v>41791</v>
      </c>
      <c r="C535" s="3">
        <v>2.5319999999999999E-2</v>
      </c>
      <c r="D535" s="3">
        <v>2.4840000000000001E-2</v>
      </c>
      <c r="E535" s="3">
        <v>2.6619999999999998E-2</v>
      </c>
      <c r="F535" s="3">
        <v>2.4750000000000001E-2</v>
      </c>
      <c r="G535" s="1">
        <v>2.3099999999999999E-2</v>
      </c>
    </row>
    <row r="536" spans="2:7" x14ac:dyDescent="0.3">
      <c r="B536" s="2">
        <v>41821</v>
      </c>
      <c r="C536" s="3">
        <v>2.5619999999999997E-2</v>
      </c>
      <c r="D536" s="3">
        <v>2.53E-2</v>
      </c>
      <c r="E536" s="3">
        <v>2.6920000000000003E-2</v>
      </c>
      <c r="F536" s="3">
        <v>2.4409999999999998E-2</v>
      </c>
      <c r="G536" s="1">
        <v>1.1599999999999999E-2</v>
      </c>
    </row>
    <row r="537" spans="2:7" x14ac:dyDescent="0.3">
      <c r="B537" s="2">
        <v>41852</v>
      </c>
      <c r="C537" s="3">
        <v>2.3450000000000002E-2</v>
      </c>
      <c r="D537" s="3">
        <v>2.5619999999999997E-2</v>
      </c>
      <c r="E537" s="3">
        <v>2.5910000000000002E-2</v>
      </c>
      <c r="F537" s="3">
        <v>2.3029999999999998E-2</v>
      </c>
      <c r="G537" s="1">
        <v>-8.4599999999999995E-2</v>
      </c>
    </row>
    <row r="538" spans="2:7" x14ac:dyDescent="0.3">
      <c r="B538" s="2">
        <v>41883</v>
      </c>
      <c r="C538" s="3">
        <v>2.495E-2</v>
      </c>
      <c r="D538" s="3">
        <v>2.3570000000000001E-2</v>
      </c>
      <c r="E538" s="3">
        <v>2.6549999999999997E-2</v>
      </c>
      <c r="F538" s="3">
        <v>2.3540000000000002E-2</v>
      </c>
      <c r="G538" s="1">
        <v>6.4100000000000004E-2</v>
      </c>
    </row>
    <row r="539" spans="2:7" x14ac:dyDescent="0.3">
      <c r="B539" s="2">
        <v>41913</v>
      </c>
      <c r="C539" s="3">
        <v>2.3349999999999999E-2</v>
      </c>
      <c r="D539" s="3">
        <v>2.5000000000000001E-2</v>
      </c>
      <c r="E539" s="3">
        <v>2.5080000000000002E-2</v>
      </c>
      <c r="F539" s="3">
        <v>1.865E-2</v>
      </c>
      <c r="G539" s="1">
        <v>-6.4000000000000001E-2</v>
      </c>
    </row>
    <row r="540" spans="2:7" x14ac:dyDescent="0.3">
      <c r="B540" s="2">
        <v>41944</v>
      </c>
      <c r="C540" s="3">
        <v>2.1729999999999999E-2</v>
      </c>
      <c r="D540" s="3">
        <v>2.3090000000000003E-2</v>
      </c>
      <c r="E540" s="3">
        <v>2.4070000000000001E-2</v>
      </c>
      <c r="F540" s="3">
        <v>2.1659999999999999E-2</v>
      </c>
      <c r="G540" s="1">
        <v>-6.9599999999999995E-2</v>
      </c>
    </row>
    <row r="541" spans="2:7" x14ac:dyDescent="0.3">
      <c r="B541" s="2">
        <v>41974</v>
      </c>
      <c r="C541" s="3">
        <v>2.1700000000000001E-2</v>
      </c>
      <c r="D541" s="3">
        <v>2.1780000000000001E-2</v>
      </c>
      <c r="E541" s="3">
        <v>2.3470000000000001E-2</v>
      </c>
      <c r="F541" s="3">
        <v>2.009E-2</v>
      </c>
      <c r="G541" s="1">
        <v>-1.1999999999999999E-3</v>
      </c>
    </row>
    <row r="542" spans="2:7" x14ac:dyDescent="0.3">
      <c r="B542" s="2">
        <v>42005</v>
      </c>
      <c r="C542" s="3">
        <v>1.6390000000000002E-2</v>
      </c>
      <c r="D542" s="3">
        <v>2.2000000000000002E-2</v>
      </c>
      <c r="E542" s="3">
        <v>2.213E-2</v>
      </c>
      <c r="F542" s="3">
        <v>1.6369999999999999E-2</v>
      </c>
      <c r="G542" s="1">
        <v>-0.24479999999999999</v>
      </c>
    </row>
    <row r="543" spans="2:7" x14ac:dyDescent="0.3">
      <c r="B543" s="2">
        <v>42036</v>
      </c>
      <c r="C543" s="3">
        <v>1.9970000000000002E-2</v>
      </c>
      <c r="D543" s="3">
        <v>1.653E-2</v>
      </c>
      <c r="E543" s="3">
        <v>2.1640000000000003E-2</v>
      </c>
      <c r="F543" s="3">
        <v>1.6490000000000001E-2</v>
      </c>
      <c r="G543" s="1">
        <v>0.21809999999999999</v>
      </c>
    </row>
    <row r="544" spans="2:7" x14ac:dyDescent="0.3">
      <c r="B544" s="2">
        <v>42064</v>
      </c>
      <c r="C544" s="3">
        <v>1.9269999999999999E-2</v>
      </c>
      <c r="D544" s="3">
        <v>2.0049999999999998E-2</v>
      </c>
      <c r="E544" s="3">
        <v>2.2589999999999999E-2</v>
      </c>
      <c r="F544" s="3">
        <v>1.8520000000000002E-2</v>
      </c>
      <c r="G544" s="1">
        <v>-3.5000000000000003E-2</v>
      </c>
    </row>
    <row r="545" spans="2:7" x14ac:dyDescent="0.3">
      <c r="B545" s="2">
        <v>42095</v>
      </c>
      <c r="C545" s="3">
        <v>2.035E-2</v>
      </c>
      <c r="D545" s="3">
        <v>1.9299999999999998E-2</v>
      </c>
      <c r="E545" s="3">
        <v>2.1099999999999997E-2</v>
      </c>
      <c r="F545" s="3">
        <v>1.8020000000000001E-2</v>
      </c>
      <c r="G545" s="1">
        <v>5.6399999999999999E-2</v>
      </c>
    </row>
    <row r="546" spans="2:7" x14ac:dyDescent="0.3">
      <c r="B546" s="2">
        <v>42125</v>
      </c>
      <c r="C546" s="3">
        <v>2.1230000000000002E-2</v>
      </c>
      <c r="D546" s="3">
        <v>2.0489999999999998E-2</v>
      </c>
      <c r="E546" s="3">
        <v>2.366E-2</v>
      </c>
      <c r="F546" s="3">
        <v>2.0459999999999999E-2</v>
      </c>
      <c r="G546" s="1">
        <v>4.3200000000000002E-2</v>
      </c>
    </row>
    <row r="547" spans="2:7" x14ac:dyDescent="0.3">
      <c r="B547" s="2">
        <v>42156</v>
      </c>
      <c r="C547" s="3">
        <v>2.349E-2</v>
      </c>
      <c r="D547" s="3">
        <v>2.128E-2</v>
      </c>
      <c r="E547" s="3">
        <v>2.5000000000000001E-2</v>
      </c>
      <c r="F547" s="3">
        <v>2.1059999999999999E-2</v>
      </c>
      <c r="G547" s="1">
        <v>0.1066</v>
      </c>
    </row>
    <row r="548" spans="2:7" x14ac:dyDescent="0.3">
      <c r="B548" s="2">
        <v>42186</v>
      </c>
      <c r="C548" s="3">
        <v>2.1869999999999997E-2</v>
      </c>
      <c r="D548" s="3">
        <v>2.3730000000000001E-2</v>
      </c>
      <c r="E548" s="3">
        <v>2.4700000000000003E-2</v>
      </c>
      <c r="F548" s="3">
        <v>2.1760000000000002E-2</v>
      </c>
      <c r="G548" s="1">
        <v>-6.9099999999999995E-2</v>
      </c>
    </row>
    <row r="549" spans="2:7" x14ac:dyDescent="0.3">
      <c r="B549" s="2">
        <v>42217</v>
      </c>
      <c r="C549" s="3">
        <v>2.214E-2</v>
      </c>
      <c r="D549" s="3">
        <v>2.2000000000000002E-2</v>
      </c>
      <c r="E549" s="3">
        <v>2.2930000000000002E-2</v>
      </c>
      <c r="F549" s="3">
        <v>1.9050000000000001E-2</v>
      </c>
      <c r="G549" s="1">
        <v>1.24E-2</v>
      </c>
    </row>
    <row r="550" spans="2:7" x14ac:dyDescent="0.3">
      <c r="B550" s="2">
        <v>42248</v>
      </c>
      <c r="C550" s="3">
        <v>2.035E-2</v>
      </c>
      <c r="D550" s="3">
        <v>2.214E-2</v>
      </c>
      <c r="E550" s="3">
        <v>2.3029999999999998E-2</v>
      </c>
      <c r="F550" s="3">
        <v>2.035E-2</v>
      </c>
      <c r="G550" s="1">
        <v>-8.1000000000000003E-2</v>
      </c>
    </row>
    <row r="551" spans="2:7" x14ac:dyDescent="0.3">
      <c r="B551" s="2">
        <v>42278</v>
      </c>
      <c r="C551" s="3">
        <v>2.146E-2</v>
      </c>
      <c r="D551" s="3">
        <v>2.0419999999999997E-2</v>
      </c>
      <c r="E551" s="3">
        <v>2.1829999999999999E-2</v>
      </c>
      <c r="F551" s="3">
        <v>1.9039999999999998E-2</v>
      </c>
      <c r="G551" s="1">
        <v>5.4399999999999997E-2</v>
      </c>
    </row>
    <row r="552" spans="2:7" x14ac:dyDescent="0.3">
      <c r="B552" s="2">
        <v>42309</v>
      </c>
      <c r="C552" s="3">
        <v>2.2080000000000002E-2</v>
      </c>
      <c r="D552" s="3">
        <v>2.137E-2</v>
      </c>
      <c r="E552" s="3">
        <v>2.3769999999999999E-2</v>
      </c>
      <c r="F552" s="3">
        <v>2.1299999999999999E-2</v>
      </c>
      <c r="G552" s="1">
        <v>2.8899999999999999E-2</v>
      </c>
    </row>
    <row r="553" spans="2:7" x14ac:dyDescent="0.3">
      <c r="B553" s="2">
        <v>42339</v>
      </c>
      <c r="C553" s="3">
        <v>2.2690000000000002E-2</v>
      </c>
      <c r="D553" s="3">
        <v>2.2170000000000002E-2</v>
      </c>
      <c r="E553" s="3">
        <v>2.358E-2</v>
      </c>
      <c r="F553" s="3">
        <v>2.12E-2</v>
      </c>
      <c r="G553" s="1">
        <v>2.7900000000000001E-2</v>
      </c>
    </row>
    <row r="554" spans="2:7" x14ac:dyDescent="0.3">
      <c r="B554" s="2">
        <v>42370</v>
      </c>
      <c r="C554" s="3">
        <v>1.9230000000000001E-2</v>
      </c>
      <c r="D554" s="3">
        <v>2.2930000000000002E-2</v>
      </c>
      <c r="E554" s="3">
        <v>2.2930000000000002E-2</v>
      </c>
      <c r="F554" s="3">
        <v>1.9110000000000002E-2</v>
      </c>
      <c r="G554" s="1">
        <v>-0.15279999999999999</v>
      </c>
    </row>
    <row r="555" spans="2:7" x14ac:dyDescent="0.3">
      <c r="B555" s="2">
        <v>42401</v>
      </c>
      <c r="C555" s="3">
        <v>1.738E-2</v>
      </c>
      <c r="D555" s="3">
        <v>1.933E-2</v>
      </c>
      <c r="E555" s="3">
        <v>1.966E-2</v>
      </c>
      <c r="F555" s="3">
        <v>1.5300000000000001E-2</v>
      </c>
      <c r="G555" s="1">
        <v>-9.5899999999999999E-2</v>
      </c>
    </row>
    <row r="556" spans="2:7" x14ac:dyDescent="0.3">
      <c r="B556" s="2">
        <v>42430</v>
      </c>
      <c r="C556" s="3">
        <v>1.77E-2</v>
      </c>
      <c r="D556" s="3">
        <v>1.737E-2</v>
      </c>
      <c r="E556" s="3">
        <v>2.0019999999999996E-2</v>
      </c>
      <c r="F556" s="3">
        <v>1.702E-2</v>
      </c>
      <c r="G556" s="1">
        <v>1.8499999999999999E-2</v>
      </c>
    </row>
    <row r="557" spans="2:7" x14ac:dyDescent="0.3">
      <c r="B557" s="2">
        <v>42461</v>
      </c>
      <c r="C557" s="3">
        <v>1.8349999999999998E-2</v>
      </c>
      <c r="D557" s="3">
        <v>1.7840000000000002E-2</v>
      </c>
      <c r="E557" s="3">
        <v>1.941E-2</v>
      </c>
      <c r="F557" s="3">
        <v>1.685E-2</v>
      </c>
      <c r="G557" s="1">
        <v>3.6499999999999998E-2</v>
      </c>
    </row>
    <row r="558" spans="2:7" x14ac:dyDescent="0.3">
      <c r="B558" s="2">
        <v>42491</v>
      </c>
      <c r="C558" s="3">
        <v>1.8509999999999999E-2</v>
      </c>
      <c r="D558" s="3">
        <v>1.83E-2</v>
      </c>
      <c r="E558" s="3">
        <v>1.89E-2</v>
      </c>
      <c r="F558" s="3">
        <v>1.7000000000000001E-2</v>
      </c>
      <c r="G558" s="1">
        <v>8.8000000000000005E-3</v>
      </c>
    </row>
    <row r="559" spans="2:7" x14ac:dyDescent="0.3">
      <c r="B559" s="2">
        <v>42522</v>
      </c>
      <c r="C559" s="3">
        <v>1.4750000000000001E-2</v>
      </c>
      <c r="D559" s="3">
        <v>1.8440000000000002E-2</v>
      </c>
      <c r="E559" s="3">
        <v>1.856E-2</v>
      </c>
      <c r="F559" s="3">
        <v>1.406E-2</v>
      </c>
      <c r="G559" s="1">
        <v>-0.20330000000000001</v>
      </c>
    </row>
    <row r="560" spans="2:7" x14ac:dyDescent="0.3">
      <c r="B560" s="2">
        <v>42552</v>
      </c>
      <c r="C560" s="3">
        <v>1.4499999999999999E-2</v>
      </c>
      <c r="D560" s="3">
        <v>1.4710000000000001E-2</v>
      </c>
      <c r="E560" s="3">
        <v>1.6279999999999999E-2</v>
      </c>
      <c r="F560" s="3">
        <v>1.321E-2</v>
      </c>
      <c r="G560" s="1">
        <v>-1.7000000000000001E-2</v>
      </c>
    </row>
    <row r="561" spans="2:7" x14ac:dyDescent="0.3">
      <c r="B561" s="2">
        <v>42583</v>
      </c>
      <c r="C561" s="3">
        <v>1.5780000000000002E-2</v>
      </c>
      <c r="D561" s="3">
        <v>1.4630000000000001E-2</v>
      </c>
      <c r="E561" s="3">
        <v>1.635E-2</v>
      </c>
      <c r="F561" s="3">
        <v>1.4630000000000001E-2</v>
      </c>
      <c r="G561" s="1">
        <v>8.8700000000000001E-2</v>
      </c>
    </row>
    <row r="562" spans="2:7" x14ac:dyDescent="0.3">
      <c r="B562" s="2">
        <v>42614</v>
      </c>
      <c r="C562" s="3">
        <v>1.5980000000000001E-2</v>
      </c>
      <c r="D562" s="3">
        <v>1.5800000000000002E-2</v>
      </c>
      <c r="E562" s="3">
        <v>1.7520000000000001E-2</v>
      </c>
      <c r="F562" s="3">
        <v>1.5189999999999999E-2</v>
      </c>
      <c r="G562" s="1">
        <v>1.24E-2</v>
      </c>
    </row>
    <row r="563" spans="2:7" x14ac:dyDescent="0.3">
      <c r="B563" s="2">
        <v>42644</v>
      </c>
      <c r="C563" s="3">
        <v>1.8260000000000002E-2</v>
      </c>
      <c r="D563" s="3">
        <v>1.6E-2</v>
      </c>
      <c r="E563" s="3">
        <v>1.8790000000000001E-2</v>
      </c>
      <c r="F563" s="3">
        <v>1.593E-2</v>
      </c>
      <c r="G563" s="1">
        <v>0.1424</v>
      </c>
    </row>
    <row r="564" spans="2:7" x14ac:dyDescent="0.3">
      <c r="B564" s="2">
        <v>42675</v>
      </c>
      <c r="C564" s="3">
        <v>2.3900000000000001E-2</v>
      </c>
      <c r="D564" s="3">
        <v>1.8380000000000001E-2</v>
      </c>
      <c r="E564" s="3">
        <v>2.4169999999999997E-2</v>
      </c>
      <c r="F564" s="3">
        <v>1.7159999999999998E-2</v>
      </c>
      <c r="G564" s="1">
        <v>0.30919999999999997</v>
      </c>
    </row>
    <row r="565" spans="2:7" x14ac:dyDescent="0.3">
      <c r="B565" s="2">
        <v>42705</v>
      </c>
      <c r="C565" s="3">
        <v>2.4460000000000003E-2</v>
      </c>
      <c r="D565" s="3">
        <v>2.3969999999999998E-2</v>
      </c>
      <c r="E565" s="3">
        <v>2.6409999999999999E-2</v>
      </c>
      <c r="F565" s="3">
        <v>2.3399999999999997E-2</v>
      </c>
      <c r="G565" s="1">
        <v>2.35E-2</v>
      </c>
    </row>
    <row r="566" spans="2:7" x14ac:dyDescent="0.3">
      <c r="B566" s="2">
        <v>42736</v>
      </c>
      <c r="C566" s="3">
        <v>2.4660000000000001E-2</v>
      </c>
      <c r="D566" s="3">
        <v>2.4390000000000002E-2</v>
      </c>
      <c r="E566" s="3">
        <v>2.5550000000000003E-2</v>
      </c>
      <c r="F566" s="3">
        <v>2.3050000000000001E-2</v>
      </c>
      <c r="G566" s="1">
        <v>8.0999999999999996E-3</v>
      </c>
    </row>
    <row r="567" spans="2:7" x14ac:dyDescent="0.3">
      <c r="B567" s="2">
        <v>42767</v>
      </c>
      <c r="C567" s="3">
        <v>2.3969999999999998E-2</v>
      </c>
      <c r="D567" s="3">
        <v>2.461E-2</v>
      </c>
      <c r="E567" s="3">
        <v>2.5239999999999999E-2</v>
      </c>
      <c r="F567" s="3">
        <v>2.3099999999999999E-2</v>
      </c>
      <c r="G567" s="1">
        <v>-2.7900000000000001E-2</v>
      </c>
    </row>
    <row r="568" spans="2:7" x14ac:dyDescent="0.3">
      <c r="B568" s="2">
        <v>42795</v>
      </c>
      <c r="C568" s="3">
        <v>2.3889999999999998E-2</v>
      </c>
      <c r="D568" s="3">
        <v>2.4150000000000001E-2</v>
      </c>
      <c r="E568" s="3">
        <v>2.6290000000000001E-2</v>
      </c>
      <c r="F568" s="3">
        <v>2.3479999999999997E-2</v>
      </c>
      <c r="G568" s="1">
        <v>-3.3E-3</v>
      </c>
    </row>
    <row r="569" spans="2:7" x14ac:dyDescent="0.3">
      <c r="B569" s="2">
        <v>42826</v>
      </c>
      <c r="C569" s="3">
        <v>2.2890000000000001E-2</v>
      </c>
      <c r="D569" s="3">
        <v>2.3959999999999999E-2</v>
      </c>
      <c r="E569" s="3">
        <v>2.4049999999999998E-2</v>
      </c>
      <c r="F569" s="3">
        <v>2.1649999999999999E-2</v>
      </c>
      <c r="G569" s="1">
        <v>-4.19E-2</v>
      </c>
    </row>
    <row r="570" spans="2:7" x14ac:dyDescent="0.3">
      <c r="B570" s="2">
        <v>42856</v>
      </c>
      <c r="C570" s="3">
        <v>2.206E-2</v>
      </c>
      <c r="D570" s="3">
        <v>2.282E-2</v>
      </c>
      <c r="E570" s="3">
        <v>2.4230000000000002E-2</v>
      </c>
      <c r="F570" s="3">
        <v>2.181E-2</v>
      </c>
      <c r="G570" s="1">
        <v>-3.6200000000000003E-2</v>
      </c>
    </row>
    <row r="571" spans="2:7" x14ac:dyDescent="0.3">
      <c r="B571" s="2">
        <v>42887</v>
      </c>
      <c r="C571" s="3">
        <v>2.3039999999999998E-2</v>
      </c>
      <c r="D571" s="3">
        <v>2.213E-2</v>
      </c>
      <c r="E571" s="3">
        <v>2.3090000000000003E-2</v>
      </c>
      <c r="F571" s="3">
        <v>2.1030000000000004E-2</v>
      </c>
      <c r="G571" s="1">
        <v>4.41E-2</v>
      </c>
    </row>
    <row r="572" spans="2:7" x14ac:dyDescent="0.3">
      <c r="B572" s="2">
        <v>42917</v>
      </c>
      <c r="C572" s="3">
        <v>2.2959999999999998E-2</v>
      </c>
      <c r="D572" s="3">
        <v>2.3140000000000001E-2</v>
      </c>
      <c r="E572" s="3">
        <v>2.3980000000000001E-2</v>
      </c>
      <c r="F572" s="3">
        <v>2.2250000000000002E-2</v>
      </c>
      <c r="G572" s="1">
        <v>-3.3E-3</v>
      </c>
    </row>
    <row r="573" spans="2:7" x14ac:dyDescent="0.3">
      <c r="B573" s="2">
        <v>42948</v>
      </c>
      <c r="C573" s="3">
        <v>2.121E-2</v>
      </c>
      <c r="D573" s="3">
        <v>2.3029999999999998E-2</v>
      </c>
      <c r="E573" s="3">
        <v>2.3210000000000001E-2</v>
      </c>
      <c r="F573" s="3">
        <v>2.086E-2</v>
      </c>
      <c r="G573" s="1">
        <v>-7.6399999999999996E-2</v>
      </c>
    </row>
    <row r="574" spans="2:7" x14ac:dyDescent="0.3">
      <c r="B574" s="2">
        <v>42979</v>
      </c>
      <c r="C574" s="3">
        <v>2.3390000000000001E-2</v>
      </c>
      <c r="D574" s="3">
        <v>2.1269999999999997E-2</v>
      </c>
      <c r="E574" s="3">
        <v>2.359E-2</v>
      </c>
      <c r="F574" s="3">
        <v>2.0160000000000001E-2</v>
      </c>
      <c r="G574" s="1">
        <v>0.10299999999999999</v>
      </c>
    </row>
    <row r="575" spans="2:7" x14ac:dyDescent="0.3">
      <c r="B575" s="2">
        <v>43009</v>
      </c>
      <c r="C575" s="3">
        <v>2.3780000000000003E-2</v>
      </c>
      <c r="D575" s="3">
        <v>2.3439999999999999E-2</v>
      </c>
      <c r="E575" s="3">
        <v>2.477E-2</v>
      </c>
      <c r="F575" s="3">
        <v>2.273E-2</v>
      </c>
      <c r="G575" s="1">
        <v>1.6500000000000001E-2</v>
      </c>
    </row>
    <row r="576" spans="2:7" x14ac:dyDescent="0.3">
      <c r="B576" s="2">
        <v>43040</v>
      </c>
      <c r="C576" s="3">
        <v>2.4150000000000001E-2</v>
      </c>
      <c r="D576" s="3">
        <v>2.3789999999999999E-2</v>
      </c>
      <c r="E576" s="3">
        <v>2.4369999999999999E-2</v>
      </c>
      <c r="F576" s="3">
        <v>2.3039999999999998E-2</v>
      </c>
      <c r="G576" s="1">
        <v>1.5800000000000002E-2</v>
      </c>
    </row>
    <row r="577" spans="2:7" x14ac:dyDescent="0.3">
      <c r="B577" s="2">
        <v>43070</v>
      </c>
      <c r="C577" s="3">
        <v>2.4049999999999998E-2</v>
      </c>
      <c r="D577" s="3">
        <v>2.4109999999999999E-2</v>
      </c>
      <c r="E577" s="3">
        <v>2.504E-2</v>
      </c>
      <c r="F577" s="3">
        <v>2.3140000000000001E-2</v>
      </c>
      <c r="G577" s="1">
        <v>-4.0000000000000001E-3</v>
      </c>
    </row>
    <row r="578" spans="2:7" x14ac:dyDescent="0.3">
      <c r="B578" s="2">
        <v>43101</v>
      </c>
      <c r="C578" s="3">
        <v>2.7130000000000001E-2</v>
      </c>
      <c r="D578" s="3">
        <v>2.4289999999999999E-2</v>
      </c>
      <c r="E578" s="3">
        <v>2.7539999999999999E-2</v>
      </c>
      <c r="F578" s="3">
        <v>2.4160000000000001E-2</v>
      </c>
      <c r="G578" s="1">
        <v>0.12770000000000001</v>
      </c>
    </row>
    <row r="579" spans="2:7" x14ac:dyDescent="0.3">
      <c r="B579" s="2">
        <v>43132</v>
      </c>
      <c r="C579" s="3">
        <v>2.8639999999999999E-2</v>
      </c>
      <c r="D579" s="3">
        <v>2.724E-2</v>
      </c>
      <c r="E579" s="3">
        <v>2.9569999999999999E-2</v>
      </c>
      <c r="F579" s="3">
        <v>2.648E-2</v>
      </c>
      <c r="G579" s="1">
        <v>5.5899999999999998E-2</v>
      </c>
    </row>
    <row r="580" spans="2:7" x14ac:dyDescent="0.3">
      <c r="B580" s="2">
        <v>43160</v>
      </c>
      <c r="C580" s="3">
        <v>2.741E-2</v>
      </c>
      <c r="D580" s="3">
        <v>2.8660000000000001E-2</v>
      </c>
      <c r="E580" s="3">
        <v>2.9360000000000001E-2</v>
      </c>
      <c r="F580" s="3">
        <v>2.7389999999999998E-2</v>
      </c>
      <c r="G580" s="1">
        <v>-4.3099999999999999E-2</v>
      </c>
    </row>
    <row r="581" spans="2:7" x14ac:dyDescent="0.3">
      <c r="B581" s="2">
        <v>43191</v>
      </c>
      <c r="C581" s="3">
        <v>2.955E-2</v>
      </c>
      <c r="D581" s="3">
        <v>2.759E-2</v>
      </c>
      <c r="E581" s="3">
        <v>3.0350000000000002E-2</v>
      </c>
      <c r="F581" s="3">
        <v>2.717E-2</v>
      </c>
      <c r="G581" s="1">
        <v>7.8200000000000006E-2</v>
      </c>
    </row>
    <row r="582" spans="2:7" x14ac:dyDescent="0.3">
      <c r="B582" s="2">
        <v>43221</v>
      </c>
      <c r="C582" s="3">
        <v>2.86E-2</v>
      </c>
      <c r="D582" s="3">
        <v>2.9590000000000002E-2</v>
      </c>
      <c r="E582" s="3">
        <v>3.1280000000000002E-2</v>
      </c>
      <c r="F582" s="3">
        <v>2.759E-2</v>
      </c>
      <c r="G582" s="1">
        <v>-3.2000000000000001E-2</v>
      </c>
    </row>
    <row r="583" spans="2:7" x14ac:dyDescent="0.3">
      <c r="B583" s="2">
        <v>43252</v>
      </c>
      <c r="C583" s="3">
        <v>2.86E-2</v>
      </c>
      <c r="D583" s="3">
        <v>2.862E-2</v>
      </c>
      <c r="E583" s="3">
        <v>3.0099999999999998E-2</v>
      </c>
      <c r="F583" s="3">
        <v>2.8220000000000002E-2</v>
      </c>
      <c r="G583" s="1">
        <v>0</v>
      </c>
    </row>
    <row r="584" spans="2:7" x14ac:dyDescent="0.3">
      <c r="B584" s="2">
        <v>43282</v>
      </c>
      <c r="C584" s="3">
        <v>2.962E-2</v>
      </c>
      <c r="D584" s="3">
        <v>2.8580000000000001E-2</v>
      </c>
      <c r="E584" s="3">
        <v>2.9900000000000003E-2</v>
      </c>
      <c r="F584" s="3">
        <v>2.8069999999999998E-2</v>
      </c>
      <c r="G584" s="1">
        <v>3.5499999999999997E-2</v>
      </c>
    </row>
    <row r="585" spans="2:7" x14ac:dyDescent="0.3">
      <c r="B585" s="2">
        <v>43313</v>
      </c>
      <c r="C585" s="3">
        <v>2.86E-2</v>
      </c>
      <c r="D585" s="3">
        <v>2.9580000000000002E-2</v>
      </c>
      <c r="E585" s="3">
        <v>3.0159999999999999E-2</v>
      </c>
      <c r="F585" s="3">
        <v>2.8079999999999997E-2</v>
      </c>
      <c r="G585" s="1">
        <v>-3.4200000000000001E-2</v>
      </c>
    </row>
    <row r="586" spans="2:7" x14ac:dyDescent="0.3">
      <c r="B586" s="2">
        <v>43344</v>
      </c>
      <c r="C586" s="3">
        <v>3.065E-2</v>
      </c>
      <c r="D586" s="3">
        <v>2.86E-2</v>
      </c>
      <c r="E586" s="3">
        <v>3.1130000000000001E-2</v>
      </c>
      <c r="F586" s="3">
        <v>2.8549999999999999E-2</v>
      </c>
      <c r="G586" s="1">
        <v>7.1499999999999994E-2</v>
      </c>
    </row>
    <row r="587" spans="2:7" x14ac:dyDescent="0.3">
      <c r="B587" s="2">
        <v>43374</v>
      </c>
      <c r="C587" s="3">
        <v>3.1489999999999997E-2</v>
      </c>
      <c r="D587" s="3">
        <v>3.0670000000000003E-2</v>
      </c>
      <c r="E587" s="3">
        <v>3.261E-2</v>
      </c>
      <c r="F587" s="3">
        <v>3.0459999999999997E-2</v>
      </c>
      <c r="G587" s="1">
        <v>2.75E-2</v>
      </c>
    </row>
    <row r="588" spans="2:7" x14ac:dyDescent="0.3">
      <c r="B588" s="2">
        <v>43405</v>
      </c>
      <c r="C588" s="3">
        <v>2.9929999999999998E-2</v>
      </c>
      <c r="D588" s="3">
        <v>3.1549999999999995E-2</v>
      </c>
      <c r="E588" s="3">
        <v>3.2500000000000001E-2</v>
      </c>
      <c r="F588" s="3">
        <v>2.988E-2</v>
      </c>
      <c r="G588" s="1">
        <v>-4.9500000000000002E-2</v>
      </c>
    </row>
    <row r="589" spans="2:7" x14ac:dyDescent="0.3">
      <c r="B589" s="2">
        <v>43435</v>
      </c>
      <c r="C589" s="3">
        <v>2.6859999999999998E-2</v>
      </c>
      <c r="D589" s="3">
        <v>3.0369999999999998E-2</v>
      </c>
      <c r="E589" s="3">
        <v>3.0499999999999999E-2</v>
      </c>
      <c r="F589" s="3">
        <v>2.6789999999999998E-2</v>
      </c>
      <c r="G589" s="1">
        <v>-0.1027</v>
      </c>
    </row>
    <row r="590" spans="2:7" x14ac:dyDescent="0.3">
      <c r="B590" s="2">
        <v>43466</v>
      </c>
      <c r="C590" s="3">
        <v>2.6329999999999999E-2</v>
      </c>
      <c r="D590" s="3">
        <v>2.6859999999999998E-2</v>
      </c>
      <c r="E590" s="3">
        <v>2.7990000000000001E-2</v>
      </c>
      <c r="F590" s="3">
        <v>2.5430000000000001E-2</v>
      </c>
      <c r="G590" s="1">
        <v>-1.9800000000000002E-2</v>
      </c>
    </row>
    <row r="591" spans="2:7" x14ac:dyDescent="0.3">
      <c r="B591" s="2">
        <v>43497</v>
      </c>
      <c r="C591" s="3">
        <v>2.717E-2</v>
      </c>
      <c r="D591" s="3">
        <v>2.6450000000000001E-2</v>
      </c>
      <c r="E591" s="3">
        <v>2.7400000000000001E-2</v>
      </c>
      <c r="F591" s="3">
        <v>2.6239999999999999E-2</v>
      </c>
      <c r="G591" s="1">
        <v>3.1899999999999998E-2</v>
      </c>
    </row>
    <row r="592" spans="2:7" x14ac:dyDescent="0.3">
      <c r="B592" s="2">
        <v>43525</v>
      </c>
      <c r="C592" s="3">
        <v>2.4070000000000001E-2</v>
      </c>
      <c r="D592" s="3">
        <v>2.7189999999999999E-2</v>
      </c>
      <c r="E592" s="3">
        <v>2.7679999999999996E-2</v>
      </c>
      <c r="F592" s="3">
        <v>2.3399999999999997E-2</v>
      </c>
      <c r="G592" s="1">
        <v>-0.11409999999999999</v>
      </c>
    </row>
    <row r="593" spans="2:7" x14ac:dyDescent="0.3">
      <c r="B593" s="2">
        <v>43556</v>
      </c>
      <c r="C593" s="3">
        <v>2.504E-2</v>
      </c>
      <c r="D593" s="3">
        <v>2.4300000000000002E-2</v>
      </c>
      <c r="E593" s="3">
        <v>2.614E-2</v>
      </c>
      <c r="F593" s="3">
        <v>2.4239999999999998E-2</v>
      </c>
      <c r="G593" s="1">
        <v>4.02E-2</v>
      </c>
    </row>
    <row r="594" spans="2:7" x14ac:dyDescent="0.3">
      <c r="B594" s="2">
        <v>43586</v>
      </c>
      <c r="C594" s="3">
        <v>2.1330000000000002E-2</v>
      </c>
      <c r="D594" s="3">
        <v>2.5089999999999998E-2</v>
      </c>
      <c r="E594" s="3">
        <v>2.5779999999999997E-2</v>
      </c>
      <c r="F594" s="3">
        <v>2.1259999999999998E-2</v>
      </c>
      <c r="G594" s="1">
        <v>-0.1479</v>
      </c>
    </row>
    <row r="595" spans="2:7" x14ac:dyDescent="0.3">
      <c r="B595" s="2">
        <v>43617</v>
      </c>
      <c r="C595" s="3">
        <v>2.0070000000000001E-2</v>
      </c>
      <c r="D595" s="3">
        <v>2.1259999999999998E-2</v>
      </c>
      <c r="E595" s="3">
        <v>2.1780000000000001E-2</v>
      </c>
      <c r="F595" s="3">
        <v>1.9740000000000001E-2</v>
      </c>
      <c r="G595" s="1">
        <v>-5.9299999999999999E-2</v>
      </c>
    </row>
    <row r="596" spans="2:7" x14ac:dyDescent="0.3">
      <c r="B596" s="2">
        <v>43647</v>
      </c>
      <c r="C596" s="3">
        <v>2.0070000000000001E-2</v>
      </c>
      <c r="D596" s="3">
        <v>2.0449999999999999E-2</v>
      </c>
      <c r="E596" s="3">
        <v>2.1499999999999998E-2</v>
      </c>
      <c r="F596" s="3">
        <v>1.9390000000000001E-2</v>
      </c>
      <c r="G596" s="1">
        <v>2.9999999999999997E-4</v>
      </c>
    </row>
    <row r="597" spans="2:7" x14ac:dyDescent="0.3">
      <c r="B597" s="2">
        <v>43678</v>
      </c>
      <c r="C597" s="3">
        <v>1.4990000000000002E-2</v>
      </c>
      <c r="D597" s="3">
        <v>2.0250000000000001E-2</v>
      </c>
      <c r="E597" s="3">
        <v>2.061E-2</v>
      </c>
      <c r="F597" s="3">
        <v>1.443E-2</v>
      </c>
      <c r="G597" s="1">
        <v>-0.25309999999999999</v>
      </c>
    </row>
    <row r="598" spans="2:7" x14ac:dyDescent="0.3">
      <c r="B598" s="2">
        <v>43709</v>
      </c>
      <c r="C598" s="3">
        <v>1.668E-2</v>
      </c>
      <c r="D598" s="3">
        <v>1.508E-2</v>
      </c>
      <c r="E598" s="3">
        <v>1.908E-2</v>
      </c>
      <c r="F598" s="3">
        <v>1.4290000000000001E-2</v>
      </c>
      <c r="G598" s="1">
        <v>0.1124</v>
      </c>
    </row>
    <row r="599" spans="2:7" x14ac:dyDescent="0.3">
      <c r="B599" s="2">
        <v>43739</v>
      </c>
      <c r="C599" s="3">
        <v>1.6879999999999999E-2</v>
      </c>
      <c r="D599" s="3">
        <v>1.67E-2</v>
      </c>
      <c r="E599" s="3">
        <v>1.8600000000000002E-2</v>
      </c>
      <c r="F599" s="3">
        <v>1.5049999999999999E-2</v>
      </c>
      <c r="G599" s="1">
        <v>1.17E-2</v>
      </c>
    </row>
    <row r="600" spans="2:7" x14ac:dyDescent="0.3">
      <c r="B600" s="2">
        <v>43770</v>
      </c>
      <c r="C600" s="3">
        <v>1.7739999999999999E-2</v>
      </c>
      <c r="D600" s="3">
        <v>1.6890000000000002E-2</v>
      </c>
      <c r="E600" s="3">
        <v>1.9730000000000001E-2</v>
      </c>
      <c r="F600" s="3">
        <v>1.67E-2</v>
      </c>
      <c r="G600" s="1">
        <v>5.1299999999999998E-2</v>
      </c>
    </row>
    <row r="601" spans="2:7" x14ac:dyDescent="0.3">
      <c r="B601" s="2">
        <v>43800</v>
      </c>
      <c r="C601" s="3">
        <v>1.9189999999999999E-2</v>
      </c>
      <c r="D601" s="3">
        <v>1.796E-2</v>
      </c>
      <c r="E601" s="3">
        <v>1.9519999999999999E-2</v>
      </c>
      <c r="F601" s="3">
        <v>1.6930000000000001E-2</v>
      </c>
      <c r="G601" s="1">
        <v>8.1799999999999998E-2</v>
      </c>
    </row>
    <row r="602" spans="2:7" x14ac:dyDescent="0.3">
      <c r="B602" s="2">
        <v>43831</v>
      </c>
      <c r="C602" s="3">
        <v>1.5049999999999999E-2</v>
      </c>
      <c r="D602" s="3">
        <v>1.9189999999999999E-2</v>
      </c>
      <c r="E602" s="3">
        <v>1.9459999999999998E-2</v>
      </c>
      <c r="F602" s="3">
        <v>1.5029999999999998E-2</v>
      </c>
      <c r="G602" s="1">
        <v>-0.21579999999999999</v>
      </c>
    </row>
    <row r="603" spans="2:7" x14ac:dyDescent="0.3">
      <c r="B603" s="2">
        <v>43862</v>
      </c>
      <c r="C603" s="3">
        <v>1.163E-2</v>
      </c>
      <c r="D603" s="3">
        <v>1.5140000000000001E-2</v>
      </c>
      <c r="E603" s="3">
        <v>1.6840000000000001E-2</v>
      </c>
      <c r="F603" s="3">
        <v>1.1160000000000002E-2</v>
      </c>
      <c r="G603" s="1">
        <v>-0.2271</v>
      </c>
    </row>
    <row r="604" spans="2:7" x14ac:dyDescent="0.3">
      <c r="B604" s="2">
        <v>43891</v>
      </c>
      <c r="C604" s="3">
        <v>6.6800000000000002E-3</v>
      </c>
      <c r="D604" s="3">
        <v>1.1049999999999999E-2</v>
      </c>
      <c r="E604" s="3">
        <v>1.2829999999999999E-2</v>
      </c>
      <c r="F604" s="3">
        <v>3.1800000000000001E-3</v>
      </c>
      <c r="G604" s="1">
        <v>-0.4259</v>
      </c>
    </row>
    <row r="605" spans="2:7" x14ac:dyDescent="0.3">
      <c r="B605" s="2">
        <v>43922</v>
      </c>
      <c r="C605" s="3">
        <v>6.4600000000000005E-3</v>
      </c>
      <c r="D605" s="3">
        <v>6.6300000000000005E-3</v>
      </c>
      <c r="E605" s="3">
        <v>7.8500000000000011E-3</v>
      </c>
      <c r="F605" s="3">
        <v>5.4300000000000008E-3</v>
      </c>
      <c r="G605" s="1">
        <v>-3.3399999999999999E-2</v>
      </c>
    </row>
    <row r="606" spans="2:7" x14ac:dyDescent="0.3">
      <c r="B606" s="2">
        <v>43952</v>
      </c>
      <c r="C606" s="3">
        <v>6.5300000000000002E-3</v>
      </c>
      <c r="D606" s="3">
        <v>6.3E-3</v>
      </c>
      <c r="E606" s="3">
        <v>7.45E-3</v>
      </c>
      <c r="F606" s="3">
        <v>5.8999999999999999E-3</v>
      </c>
      <c r="G606" s="1">
        <v>1.0800000000000001E-2</v>
      </c>
    </row>
    <row r="607" spans="2:7" x14ac:dyDescent="0.3">
      <c r="B607" s="2">
        <v>43983</v>
      </c>
      <c r="C607" s="3">
        <v>6.5799999999999999E-3</v>
      </c>
      <c r="D607" s="3">
        <v>6.4000000000000003E-3</v>
      </c>
      <c r="E607" s="3">
        <v>9.5899999999999996E-3</v>
      </c>
      <c r="F607" s="3">
        <v>6.1799999999999997E-3</v>
      </c>
      <c r="G607" s="1">
        <v>7.7999999999999996E-3</v>
      </c>
    </row>
    <row r="608" spans="2:7" x14ac:dyDescent="0.3">
      <c r="B608" s="2">
        <v>44013</v>
      </c>
      <c r="C608" s="3">
        <v>5.3300000000000005E-3</v>
      </c>
      <c r="D608" s="3">
        <v>6.5799999999999999E-3</v>
      </c>
      <c r="E608" s="3">
        <v>7.2399999999999999E-3</v>
      </c>
      <c r="F608" s="3">
        <v>5.1999999999999998E-3</v>
      </c>
      <c r="G608" s="1">
        <v>-0.18940000000000001</v>
      </c>
    </row>
    <row r="609" spans="2:7" x14ac:dyDescent="0.3">
      <c r="B609" s="2">
        <v>44044</v>
      </c>
      <c r="C609" s="3">
        <v>7.0599999999999994E-3</v>
      </c>
      <c r="D609" s="3">
        <v>5.3500000000000006E-3</v>
      </c>
      <c r="E609" s="3">
        <v>7.8900000000000012E-3</v>
      </c>
      <c r="F609" s="3">
        <v>5.0400000000000002E-3</v>
      </c>
      <c r="G609" s="1">
        <v>0.3251</v>
      </c>
    </row>
    <row r="610" spans="2:7" x14ac:dyDescent="0.3">
      <c r="B610" s="2">
        <v>44075</v>
      </c>
      <c r="C610" s="3">
        <v>6.8600000000000006E-3</v>
      </c>
      <c r="D610" s="3">
        <v>7.1300000000000001E-3</v>
      </c>
      <c r="E610" s="3">
        <v>7.3099999999999997E-3</v>
      </c>
      <c r="F610" s="3">
        <v>6.0400000000000002E-3</v>
      </c>
      <c r="G610" s="1">
        <v>-2.93E-2</v>
      </c>
    </row>
    <row r="611" spans="2:7" x14ac:dyDescent="0.3">
      <c r="B611" s="2">
        <v>44105</v>
      </c>
      <c r="C611" s="3">
        <v>8.7399999999999995E-3</v>
      </c>
      <c r="D611" s="3">
        <v>6.8899999999999994E-3</v>
      </c>
      <c r="E611" s="3">
        <v>8.77E-3</v>
      </c>
      <c r="F611" s="3">
        <v>6.5300000000000002E-3</v>
      </c>
      <c r="G611" s="1">
        <v>0.2742</v>
      </c>
    </row>
    <row r="612" spans="2:7" x14ac:dyDescent="0.3">
      <c r="B612" s="2">
        <v>44136</v>
      </c>
      <c r="C612" s="3">
        <v>8.4200000000000004E-3</v>
      </c>
      <c r="D612" s="3">
        <v>8.5500000000000003E-3</v>
      </c>
      <c r="E612" s="3">
        <v>9.75E-3</v>
      </c>
      <c r="F612" s="3">
        <v>7.1799999999999998E-3</v>
      </c>
      <c r="G612" s="1">
        <v>-3.61E-2</v>
      </c>
    </row>
    <row r="613" spans="2:7" x14ac:dyDescent="0.3">
      <c r="B613" s="2">
        <v>44166</v>
      </c>
      <c r="C613" s="3">
        <v>9.1599999999999997E-3</v>
      </c>
      <c r="D613" s="3">
        <v>8.4700000000000001E-3</v>
      </c>
      <c r="E613" s="3">
        <v>9.8600000000000007E-3</v>
      </c>
      <c r="F613" s="3">
        <v>8.3400000000000002E-3</v>
      </c>
      <c r="G613" s="1">
        <v>8.8200000000000001E-2</v>
      </c>
    </row>
    <row r="614" spans="2:7" x14ac:dyDescent="0.3">
      <c r="B614" s="2">
        <v>44197</v>
      </c>
      <c r="C614" s="3">
        <v>1.0709999999999999E-2</v>
      </c>
      <c r="D614" s="3">
        <v>9.300000000000001E-3</v>
      </c>
      <c r="E614" s="3">
        <v>1.187E-2</v>
      </c>
      <c r="F614" s="3">
        <v>9.0600000000000003E-3</v>
      </c>
      <c r="G614" s="1">
        <v>0.1681</v>
      </c>
    </row>
    <row r="615" spans="2:7" x14ac:dyDescent="0.3">
      <c r="B615" s="2">
        <v>44228</v>
      </c>
      <c r="C615" s="3">
        <v>1.4070000000000001E-2</v>
      </c>
      <c r="D615" s="3">
        <v>1.0709999999999999E-2</v>
      </c>
      <c r="E615" s="3">
        <v>1.6140000000000002E-2</v>
      </c>
      <c r="F615" s="3">
        <v>1.06E-2</v>
      </c>
      <c r="G615" s="1">
        <v>0.31380000000000002</v>
      </c>
    </row>
    <row r="616" spans="2:7" x14ac:dyDescent="0.3">
      <c r="B616" s="2">
        <v>44256</v>
      </c>
      <c r="C616" s="3">
        <v>1.7440000000000001E-2</v>
      </c>
      <c r="D616" s="3">
        <v>1.3950000000000001E-2</v>
      </c>
      <c r="E616" s="3">
        <v>1.7760000000000001E-2</v>
      </c>
      <c r="F616" s="3">
        <v>1.383E-2</v>
      </c>
      <c r="G616" s="1">
        <v>0.2399</v>
      </c>
    </row>
    <row r="617" spans="2:7" x14ac:dyDescent="0.3">
      <c r="B617" s="2">
        <v>44287</v>
      </c>
      <c r="C617" s="3">
        <v>1.626E-2</v>
      </c>
      <c r="D617" s="3">
        <v>1.737E-2</v>
      </c>
      <c r="E617" s="3">
        <v>1.753E-2</v>
      </c>
      <c r="F617" s="3">
        <v>1.528E-2</v>
      </c>
      <c r="G617" s="1">
        <v>-6.7699999999999996E-2</v>
      </c>
    </row>
    <row r="618" spans="2:7" x14ac:dyDescent="0.3">
      <c r="B618" s="2">
        <v>44317</v>
      </c>
      <c r="C618" s="3">
        <v>1.5810000000000001E-2</v>
      </c>
      <c r="D618" s="3">
        <v>1.6310000000000002E-2</v>
      </c>
      <c r="E618" s="3">
        <v>1.7070000000000002E-2</v>
      </c>
      <c r="F618" s="3">
        <v>1.4690000000000002E-2</v>
      </c>
      <c r="G618" s="1">
        <v>-2.7799999999999998E-2</v>
      </c>
    </row>
    <row r="619" spans="2:7" x14ac:dyDescent="0.3">
      <c r="B619" s="2">
        <v>44348</v>
      </c>
      <c r="C619" s="3">
        <v>1.468E-2</v>
      </c>
      <c r="D619" s="3">
        <v>1.6080000000000001E-2</v>
      </c>
      <c r="E619" s="3">
        <v>1.6390000000000002E-2</v>
      </c>
      <c r="F619" s="3">
        <v>1.3540000000000002E-2</v>
      </c>
      <c r="G619" s="1">
        <v>-7.1300000000000002E-2</v>
      </c>
    </row>
    <row r="620" spans="2:7" x14ac:dyDescent="0.3">
      <c r="B620" s="2">
        <v>44378</v>
      </c>
      <c r="C620" s="3">
        <v>1.226E-2</v>
      </c>
      <c r="D620" s="3">
        <v>1.47E-2</v>
      </c>
      <c r="E620" s="3">
        <v>1.485E-2</v>
      </c>
      <c r="F620" s="3">
        <v>1.1279999999999998E-2</v>
      </c>
      <c r="G620" s="1">
        <v>-0.1651</v>
      </c>
    </row>
    <row r="621" spans="2:7" x14ac:dyDescent="0.3">
      <c r="B621" s="2">
        <v>44409</v>
      </c>
      <c r="C621" s="3">
        <v>1.307E-2</v>
      </c>
      <c r="D621" s="3">
        <v>1.2370000000000001E-2</v>
      </c>
      <c r="E621" s="3">
        <v>1.379E-2</v>
      </c>
      <c r="F621" s="3">
        <v>1.1270000000000001E-2</v>
      </c>
      <c r="G621" s="1">
        <v>6.6500000000000004E-2</v>
      </c>
    </row>
    <row r="622" spans="2:7" x14ac:dyDescent="0.3">
      <c r="B622" s="2">
        <v>44440</v>
      </c>
      <c r="C622" s="3">
        <v>1.4919999999999999E-2</v>
      </c>
      <c r="D622" s="3">
        <v>1.3169999999999999E-2</v>
      </c>
      <c r="E622" s="3">
        <v>1.567E-2</v>
      </c>
      <c r="F622" s="3">
        <v>1.26E-2</v>
      </c>
      <c r="G622" s="1">
        <v>0.14180000000000001</v>
      </c>
    </row>
    <row r="623" spans="2:7" x14ac:dyDescent="0.3">
      <c r="B623" s="2">
        <v>44470</v>
      </c>
      <c r="C623" s="3">
        <v>1.5609999999999999E-2</v>
      </c>
      <c r="D623" s="3">
        <v>1.5009999999999999E-2</v>
      </c>
      <c r="E623" s="3">
        <v>1.7049999999999999E-2</v>
      </c>
      <c r="F623" s="3">
        <v>1.4530000000000001E-2</v>
      </c>
      <c r="G623" s="1">
        <v>4.58E-2</v>
      </c>
    </row>
    <row r="624" spans="2:7" x14ac:dyDescent="0.3">
      <c r="B624" s="2">
        <v>44501</v>
      </c>
      <c r="C624" s="3">
        <v>1.456E-2</v>
      </c>
      <c r="D624" s="3">
        <v>1.575E-2</v>
      </c>
      <c r="E624" s="3">
        <v>1.6930000000000001E-2</v>
      </c>
      <c r="F624" s="3">
        <v>1.4119999999999999E-2</v>
      </c>
      <c r="G624" s="1">
        <v>-6.7100000000000007E-2</v>
      </c>
    </row>
    <row r="625" spans="2:7" x14ac:dyDescent="0.3">
      <c r="B625" s="2">
        <v>44531</v>
      </c>
      <c r="C625" s="3">
        <v>1.512E-2</v>
      </c>
      <c r="D625" s="3">
        <v>1.477E-2</v>
      </c>
      <c r="E625" s="3">
        <v>1.5600000000000001E-2</v>
      </c>
      <c r="F625" s="3">
        <v>1.3349999999999999E-2</v>
      </c>
      <c r="G625" s="1">
        <v>3.8199999999999998E-2</v>
      </c>
    </row>
    <row r="626" spans="2:7" x14ac:dyDescent="0.3">
      <c r="B626" s="2">
        <v>44562</v>
      </c>
      <c r="C626" s="3">
        <v>1.7840000000000002E-2</v>
      </c>
      <c r="D626" s="3">
        <v>1.5309999999999999E-2</v>
      </c>
      <c r="E626" s="3">
        <v>1.9019999999999999E-2</v>
      </c>
      <c r="F626" s="3">
        <v>1.529E-2</v>
      </c>
      <c r="G626" s="1">
        <v>0.1799</v>
      </c>
    </row>
    <row r="627" spans="2:7" x14ac:dyDescent="0.3">
      <c r="B627" s="2">
        <v>44593</v>
      </c>
      <c r="C627" s="3">
        <v>1.822E-2</v>
      </c>
      <c r="D627" s="3">
        <v>1.787E-2</v>
      </c>
      <c r="E627" s="3">
        <v>2.0649999999999998E-2</v>
      </c>
      <c r="F627" s="3">
        <v>1.7390000000000003E-2</v>
      </c>
      <c r="G627" s="1">
        <v>2.12E-2</v>
      </c>
    </row>
    <row r="628" spans="2:7" x14ac:dyDescent="0.3">
      <c r="B628" s="2">
        <v>44621</v>
      </c>
      <c r="C628" s="3">
        <v>2.3450000000000002E-2</v>
      </c>
      <c r="D628" s="3">
        <v>1.84E-2</v>
      </c>
      <c r="E628" s="3">
        <v>2.5569999999999999E-2</v>
      </c>
      <c r="F628" s="3">
        <v>1.668E-2</v>
      </c>
      <c r="G628" s="1">
        <v>0.28739999999999999</v>
      </c>
    </row>
    <row r="629" spans="2:7" x14ac:dyDescent="0.3">
      <c r="B629" s="2">
        <v>44652</v>
      </c>
      <c r="C629" s="3">
        <v>2.9380000000000003E-2</v>
      </c>
      <c r="D629" s="3">
        <v>2.3519999999999999E-2</v>
      </c>
      <c r="E629" s="3">
        <v>2.981E-2</v>
      </c>
      <c r="F629" s="3">
        <v>2.3519999999999999E-2</v>
      </c>
      <c r="G629" s="1">
        <v>0.25259999999999999</v>
      </c>
    </row>
    <row r="630" spans="2:7" x14ac:dyDescent="0.3">
      <c r="B630" s="2">
        <v>44682</v>
      </c>
      <c r="C630" s="3">
        <v>2.8490000000000001E-2</v>
      </c>
      <c r="D630" s="3">
        <v>2.9319999999999999E-2</v>
      </c>
      <c r="E630" s="3">
        <v>3.2029999999999996E-2</v>
      </c>
      <c r="F630" s="3">
        <v>2.7060000000000001E-2</v>
      </c>
      <c r="G630" s="1">
        <v>-0.03</v>
      </c>
    </row>
    <row r="631" spans="2:7" x14ac:dyDescent="0.3">
      <c r="B631" s="2">
        <v>44713</v>
      </c>
      <c r="C631" s="3">
        <v>3.0169999999999999E-2</v>
      </c>
      <c r="D631" s="3">
        <v>2.8639999999999999E-2</v>
      </c>
      <c r="E631" s="3">
        <v>3.4980000000000004E-2</v>
      </c>
      <c r="F631" s="3">
        <v>2.8330000000000001E-2</v>
      </c>
      <c r="G631" s="1">
        <v>5.8599999999999999E-2</v>
      </c>
    </row>
    <row r="632" spans="2:7" x14ac:dyDescent="0.3">
      <c r="B632" s="2">
        <v>44743</v>
      </c>
      <c r="C632" s="3">
        <v>2.6579999999999999E-2</v>
      </c>
      <c r="D632" s="3">
        <v>3.024E-2</v>
      </c>
      <c r="E632" s="3">
        <v>3.1030000000000002E-2</v>
      </c>
      <c r="F632" s="3">
        <v>2.6179999999999998E-2</v>
      </c>
      <c r="G632" s="1">
        <v>-0.11899999999999999</v>
      </c>
    </row>
    <row r="633" spans="2:7" x14ac:dyDescent="0.3">
      <c r="B633" s="2">
        <v>44774</v>
      </c>
      <c r="C633" s="3">
        <v>3.1960000000000002E-2</v>
      </c>
      <c r="D633" s="3">
        <v>2.6690000000000002E-2</v>
      </c>
      <c r="E633" s="3">
        <v>3.1980000000000001E-2</v>
      </c>
      <c r="F633" s="3">
        <v>2.5160000000000002E-2</v>
      </c>
      <c r="G633" s="1">
        <v>0.20269999999999999</v>
      </c>
    </row>
    <row r="634" spans="2:7" x14ac:dyDescent="0.3">
      <c r="B634" s="2">
        <v>44805</v>
      </c>
      <c r="C634" s="3">
        <v>3.8290000000000005E-2</v>
      </c>
      <c r="D634" s="3">
        <v>3.1980000000000001E-2</v>
      </c>
      <c r="E634" s="3">
        <v>4.0190000000000003E-2</v>
      </c>
      <c r="F634" s="3">
        <v>3.1739999999999997E-2</v>
      </c>
      <c r="G634" s="1">
        <v>0.1978</v>
      </c>
    </row>
    <row r="635" spans="2:7" x14ac:dyDescent="0.3">
      <c r="B635" s="2">
        <v>44835</v>
      </c>
      <c r="C635" s="3">
        <v>4.0500000000000001E-2</v>
      </c>
      <c r="D635" s="3">
        <v>3.8130000000000004E-2</v>
      </c>
      <c r="E635" s="3">
        <v>4.3380000000000002E-2</v>
      </c>
      <c r="F635" s="3">
        <v>3.5619999999999999E-2</v>
      </c>
      <c r="G635" s="1">
        <v>5.7799999999999997E-2</v>
      </c>
    </row>
    <row r="636" spans="2:7" x14ac:dyDescent="0.3">
      <c r="B636" s="2">
        <v>44866</v>
      </c>
      <c r="C636" s="3">
        <v>3.6110000000000003E-2</v>
      </c>
      <c r="D636" s="3">
        <v>4.0579999999999998E-2</v>
      </c>
      <c r="E636" s="3">
        <v>4.2430000000000002E-2</v>
      </c>
      <c r="F636" s="3">
        <v>3.6000000000000004E-2</v>
      </c>
      <c r="G636" s="1">
        <v>-0.1084</v>
      </c>
    </row>
    <row r="637" spans="2:7" x14ac:dyDescent="0.3">
      <c r="B637" s="2">
        <v>44896</v>
      </c>
      <c r="C637" s="3">
        <v>3.8789999999999998E-2</v>
      </c>
      <c r="D637" s="3">
        <v>3.6200000000000003E-2</v>
      </c>
      <c r="E637" s="3">
        <v>3.9050000000000001E-2</v>
      </c>
      <c r="F637" s="3">
        <v>3.4020000000000002E-2</v>
      </c>
      <c r="G637" s="1">
        <v>7.4099999999999999E-2</v>
      </c>
    </row>
    <row r="638" spans="2:7" x14ac:dyDescent="0.3">
      <c r="B638" s="2">
        <v>44927</v>
      </c>
      <c r="C638" s="3">
        <v>3.5099999999999999E-2</v>
      </c>
      <c r="D638" s="3">
        <v>3.848E-2</v>
      </c>
      <c r="E638" s="3">
        <v>3.848E-2</v>
      </c>
      <c r="F638" s="3">
        <v>3.3210000000000003E-2</v>
      </c>
      <c r="G638" s="1">
        <v>-9.4899999999999998E-2</v>
      </c>
    </row>
    <row r="639" spans="2:7" x14ac:dyDescent="0.3">
      <c r="B639" s="2">
        <v>44958</v>
      </c>
      <c r="C639" s="3">
        <v>3.9280000000000002E-2</v>
      </c>
      <c r="D639" s="3">
        <v>3.5159999999999997E-2</v>
      </c>
      <c r="E639" s="3">
        <v>3.9830000000000004E-2</v>
      </c>
      <c r="F639" s="3">
        <v>3.3329999999999999E-2</v>
      </c>
      <c r="G639" s="1">
        <v>0.11890000000000001</v>
      </c>
    </row>
    <row r="640" spans="2:7" x14ac:dyDescent="0.3">
      <c r="B640" s="2">
        <v>44986</v>
      </c>
      <c r="C640" s="3">
        <v>3.4729999999999997E-2</v>
      </c>
      <c r="D640" s="3">
        <v>3.9379999999999998E-2</v>
      </c>
      <c r="E640" s="3">
        <v>4.0910000000000002E-2</v>
      </c>
      <c r="F640" s="3">
        <v>3.2850000000000004E-2</v>
      </c>
      <c r="G640" s="1">
        <v>-0.1157</v>
      </c>
    </row>
    <row r="641" spans="2:7" x14ac:dyDescent="0.3">
      <c r="B641" s="2">
        <v>45017</v>
      </c>
      <c r="C641" s="3">
        <v>3.4329999999999999E-2</v>
      </c>
      <c r="D641" s="3">
        <v>3.524E-2</v>
      </c>
      <c r="E641" s="3">
        <v>3.6389999999999999E-2</v>
      </c>
      <c r="F641" s="3">
        <v>3.2530000000000003E-2</v>
      </c>
      <c r="G641" s="1">
        <v>-1.15E-2</v>
      </c>
    </row>
    <row r="642" spans="2:7" x14ac:dyDescent="0.3">
      <c r="B642" s="2">
        <v>45047</v>
      </c>
      <c r="C642" s="3">
        <v>3.6459999999999999E-2</v>
      </c>
      <c r="D642" s="3">
        <v>3.4500000000000003E-2</v>
      </c>
      <c r="E642" s="3">
        <v>3.8589999999999999E-2</v>
      </c>
      <c r="F642" s="3">
        <v>3.2959999999999996E-2</v>
      </c>
      <c r="G642" s="1">
        <v>6.2100000000000002E-2</v>
      </c>
    </row>
    <row r="643" spans="2:7" x14ac:dyDescent="0.3">
      <c r="B643" s="2">
        <v>45078</v>
      </c>
      <c r="C643" s="3">
        <v>3.841E-2</v>
      </c>
      <c r="D643" s="3">
        <v>3.6389999999999999E-2</v>
      </c>
      <c r="E643" s="3">
        <v>3.8919999999999996E-2</v>
      </c>
      <c r="F643" s="3">
        <v>3.5699999999999996E-2</v>
      </c>
      <c r="G643" s="1">
        <v>5.33E-2</v>
      </c>
    </row>
    <row r="644" spans="2:7" x14ac:dyDescent="0.3">
      <c r="B644" s="2">
        <v>45108</v>
      </c>
      <c r="C644" s="3">
        <v>3.9670000000000004E-2</v>
      </c>
      <c r="D644" s="3">
        <v>3.8450000000000005E-2</v>
      </c>
      <c r="E644" s="3">
        <v>4.0940000000000004E-2</v>
      </c>
      <c r="F644" s="3">
        <v>3.7269999999999998E-2</v>
      </c>
      <c r="G644" s="1">
        <v>3.2899999999999999E-2</v>
      </c>
    </row>
    <row r="645" spans="2:7" x14ac:dyDescent="0.3">
      <c r="B645" s="2">
        <v>45139</v>
      </c>
      <c r="C645" s="3">
        <v>4.1059999999999999E-2</v>
      </c>
      <c r="D645" s="3">
        <v>3.9649999999999998E-2</v>
      </c>
      <c r="E645" s="3">
        <v>4.3659999999999997E-2</v>
      </c>
      <c r="F645" s="3">
        <v>3.9489999999999997E-2</v>
      </c>
      <c r="G645" s="1">
        <v>3.5099999999999999E-2</v>
      </c>
    </row>
    <row r="646" spans="2:7" x14ac:dyDescent="0.3">
      <c r="B646" s="2">
        <v>45170</v>
      </c>
      <c r="C646" s="3">
        <v>4.5789999999999997E-2</v>
      </c>
      <c r="D646" s="3">
        <v>4.1139999999999996E-2</v>
      </c>
      <c r="E646" s="3">
        <v>4.6879999999999998E-2</v>
      </c>
      <c r="F646" s="3">
        <v>4.0599999999999997E-2</v>
      </c>
      <c r="G646" s="1">
        <v>0.1152</v>
      </c>
    </row>
    <row r="647" spans="2:7" x14ac:dyDescent="0.3">
      <c r="B647" s="2">
        <v>45200</v>
      </c>
      <c r="C647" s="3">
        <v>4.9259999999999998E-2</v>
      </c>
      <c r="D647" s="3">
        <v>4.614E-2</v>
      </c>
      <c r="E647" s="3">
        <v>5.0209999999999998E-2</v>
      </c>
      <c r="F647" s="3">
        <v>4.53E-2</v>
      </c>
      <c r="G647" s="1">
        <v>7.5800000000000006E-2</v>
      </c>
    </row>
    <row r="648" spans="2:7" x14ac:dyDescent="0.3">
      <c r="B648" s="2">
        <v>45231</v>
      </c>
      <c r="C648" s="3">
        <v>4.3299999999999998E-2</v>
      </c>
      <c r="D648" s="3">
        <v>4.9259999999999998E-2</v>
      </c>
      <c r="E648" s="3">
        <v>4.9349999999999998E-2</v>
      </c>
      <c r="F648" s="3">
        <v>4.2470000000000001E-2</v>
      </c>
      <c r="G648" s="1">
        <v>-0.121</v>
      </c>
    </row>
    <row r="649" spans="2:7" x14ac:dyDescent="0.3">
      <c r="B649" s="2">
        <v>45261</v>
      </c>
      <c r="C649" s="3">
        <v>3.866E-2</v>
      </c>
      <c r="D649" s="3">
        <v>4.3209999999999998E-2</v>
      </c>
      <c r="E649" s="3">
        <v>4.3490000000000001E-2</v>
      </c>
      <c r="F649" s="3">
        <v>3.7830000000000003E-2</v>
      </c>
      <c r="G649" s="1">
        <v>-0.1072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0EB7-D6B0-440E-8EC9-C7A93660E62C}">
  <dimension ref="B2:R66"/>
  <sheetViews>
    <sheetView showGridLines="0" workbookViewId="0">
      <selection activeCell="F11" sqref="A1:XFD1048576"/>
    </sheetView>
  </sheetViews>
  <sheetFormatPr defaultRowHeight="14.5" x14ac:dyDescent="0.35"/>
  <cols>
    <col min="1" max="5" width="8.796875" style="5"/>
    <col min="6" max="6" width="18.19921875" style="5" customWidth="1"/>
    <col min="7" max="14" width="8.796875" style="5"/>
    <col min="15" max="15" width="21.5" style="5" customWidth="1"/>
    <col min="16" max="16384" width="8.796875" style="5"/>
  </cols>
  <sheetData>
    <row r="2" spans="2:15" x14ac:dyDescent="0.35">
      <c r="B2" s="5" t="s">
        <v>0</v>
      </c>
      <c r="C2" s="5" t="s">
        <v>15</v>
      </c>
    </row>
    <row r="3" spans="2:15" x14ac:dyDescent="0.35">
      <c r="B3" s="5">
        <v>1970</v>
      </c>
      <c r="C3" s="22">
        <v>3.4099999999999998E-2</v>
      </c>
      <c r="D3" s="22"/>
      <c r="F3" s="8" t="s">
        <v>122</v>
      </c>
      <c r="G3" s="8" t="s">
        <v>121</v>
      </c>
      <c r="H3" s="40">
        <f>AVERAGE(C37:C56)</f>
        <v>5.1164999999999995E-2</v>
      </c>
      <c r="K3" s="22"/>
      <c r="L3" s="22"/>
      <c r="M3" s="22"/>
      <c r="N3" s="22"/>
    </row>
    <row r="4" spans="2:15" x14ac:dyDescent="0.35">
      <c r="B4" s="5">
        <v>1971</v>
      </c>
      <c r="C4" s="22">
        <v>3.09E-2</v>
      </c>
      <c r="D4" s="22"/>
      <c r="I4" s="22"/>
      <c r="J4" s="22"/>
      <c r="K4" s="22"/>
      <c r="L4" s="22"/>
      <c r="M4" s="22"/>
      <c r="N4" s="22"/>
      <c r="O4" s="22"/>
    </row>
    <row r="5" spans="2:15" x14ac:dyDescent="0.35">
      <c r="B5" s="5">
        <v>1972</v>
      </c>
      <c r="C5" s="22">
        <v>2.7199999999999998E-2</v>
      </c>
      <c r="D5" s="22"/>
      <c r="F5" s="8" t="s">
        <v>122</v>
      </c>
      <c r="G5" s="8" t="s">
        <v>123</v>
      </c>
      <c r="H5" s="40">
        <f>AVERAGE(C42:C56)</f>
        <v>5.309333333333334E-2</v>
      </c>
      <c r="I5" s="22"/>
      <c r="J5" s="22"/>
      <c r="K5" s="22"/>
      <c r="L5" s="22"/>
      <c r="M5" s="22"/>
      <c r="N5" s="22"/>
      <c r="O5" s="22"/>
    </row>
    <row r="6" spans="2:15" x14ac:dyDescent="0.35">
      <c r="B6" s="5">
        <v>1973</v>
      </c>
      <c r="C6" s="22">
        <v>4.2999999999999997E-2</v>
      </c>
      <c r="D6" s="22"/>
      <c r="I6" s="22"/>
      <c r="J6" s="22"/>
      <c r="K6" s="22"/>
      <c r="L6" s="22"/>
      <c r="M6" s="22"/>
      <c r="N6" s="22"/>
      <c r="O6" s="22"/>
    </row>
    <row r="7" spans="2:15" x14ac:dyDescent="0.35">
      <c r="B7" s="5">
        <v>1974</v>
      </c>
      <c r="C7" s="22">
        <v>5.5899999999999998E-2</v>
      </c>
      <c r="D7" s="22"/>
      <c r="F7" s="8" t="s">
        <v>122</v>
      </c>
      <c r="G7" s="8" t="s">
        <v>124</v>
      </c>
      <c r="H7" s="40">
        <f>AVERAGE(C50:C56)</f>
        <v>5.1057142857142856E-2</v>
      </c>
      <c r="I7" s="22"/>
      <c r="J7" s="22"/>
      <c r="K7" s="22"/>
      <c r="L7" s="22"/>
      <c r="M7" s="22"/>
      <c r="N7" s="22"/>
      <c r="O7" s="22"/>
    </row>
    <row r="8" spans="2:15" x14ac:dyDescent="0.35">
      <c r="B8" s="5">
        <v>1975</v>
      </c>
      <c r="C8" s="22">
        <v>4.1300000000000003E-2</v>
      </c>
      <c r="D8" s="22"/>
      <c r="I8" s="22"/>
      <c r="J8" s="22"/>
      <c r="K8" s="22"/>
      <c r="L8" s="22"/>
      <c r="M8" s="22"/>
      <c r="N8" s="22"/>
      <c r="O8" s="22"/>
    </row>
    <row r="9" spans="2:15" x14ac:dyDescent="0.35">
      <c r="B9" s="5">
        <v>1976</v>
      </c>
      <c r="C9" s="22">
        <v>4.5499999999999999E-2</v>
      </c>
      <c r="D9" s="22"/>
      <c r="F9" s="8" t="s">
        <v>122</v>
      </c>
      <c r="G9" s="8" t="s">
        <v>125</v>
      </c>
      <c r="H9" s="40">
        <f>AVERAGE(C52:C56)</f>
        <v>4.9399999999999999E-2</v>
      </c>
      <c r="I9" s="22"/>
      <c r="J9" s="22"/>
      <c r="K9" s="22"/>
      <c r="L9" s="22"/>
      <c r="M9" s="22"/>
      <c r="N9" s="22"/>
      <c r="O9" s="22"/>
    </row>
    <row r="10" spans="2:15" x14ac:dyDescent="0.35">
      <c r="B10" s="5">
        <v>1977</v>
      </c>
      <c r="C10" s="22">
        <v>5.9200000000000003E-2</v>
      </c>
      <c r="D10" s="22"/>
      <c r="I10" s="22"/>
      <c r="J10" s="22"/>
      <c r="K10" s="22"/>
      <c r="L10" s="22"/>
      <c r="M10" s="22"/>
      <c r="N10" s="22"/>
      <c r="O10" s="22"/>
    </row>
    <row r="11" spans="2:15" x14ac:dyDescent="0.35">
      <c r="B11" s="5">
        <v>1978</v>
      </c>
      <c r="C11" s="22">
        <v>5.7200000000000001E-2</v>
      </c>
      <c r="D11" s="22"/>
      <c r="F11" s="8" t="s">
        <v>122</v>
      </c>
      <c r="G11" s="8" t="s">
        <v>126</v>
      </c>
      <c r="H11" s="40">
        <f>C56</f>
        <v>4.5999999999999999E-2</v>
      </c>
      <c r="I11" s="22"/>
      <c r="J11" s="22"/>
      <c r="K11" s="22"/>
      <c r="L11" s="22"/>
      <c r="M11" s="22"/>
      <c r="N11" s="22"/>
      <c r="O11" s="22"/>
    </row>
    <row r="12" spans="2:15" x14ac:dyDescent="0.35">
      <c r="B12" s="5">
        <v>1979</v>
      </c>
      <c r="C12" s="22">
        <v>6.4500000000000002E-2</v>
      </c>
      <c r="D12" s="22"/>
      <c r="I12" s="22"/>
      <c r="J12" s="22"/>
      <c r="K12" s="22"/>
      <c r="L12" s="22"/>
      <c r="M12" s="22"/>
      <c r="N12" s="22"/>
      <c r="O12" s="22"/>
    </row>
    <row r="13" spans="2:15" x14ac:dyDescent="0.35">
      <c r="B13" s="5">
        <v>1980</v>
      </c>
      <c r="C13" s="22">
        <v>5.0299999999999997E-2</v>
      </c>
      <c r="D13" s="22"/>
      <c r="I13" s="22"/>
      <c r="J13" s="22"/>
      <c r="K13" s="22"/>
      <c r="L13" s="22"/>
      <c r="M13" s="22"/>
      <c r="N13" s="22"/>
      <c r="O13" s="22"/>
    </row>
    <row r="14" spans="2:15" x14ac:dyDescent="0.35">
      <c r="B14" s="5">
        <v>1981</v>
      </c>
      <c r="C14" s="22">
        <v>5.7299999999999997E-2</v>
      </c>
      <c r="D14" s="22"/>
      <c r="I14" s="22"/>
      <c r="J14" s="22"/>
      <c r="K14" s="22"/>
      <c r="L14" s="22"/>
      <c r="M14" s="22"/>
      <c r="N14" s="22"/>
      <c r="O14" s="22"/>
    </row>
    <row r="15" spans="2:15" x14ac:dyDescent="0.35">
      <c r="B15" s="5">
        <v>1982</v>
      </c>
      <c r="C15" s="22">
        <v>4.9000000000000002E-2</v>
      </c>
      <c r="D15" s="22"/>
      <c r="I15" s="22"/>
      <c r="J15" s="22"/>
      <c r="K15" s="22"/>
      <c r="L15" s="22"/>
      <c r="M15" s="22"/>
      <c r="N15" s="22"/>
      <c r="O15" s="22"/>
    </row>
    <row r="16" spans="2:15" x14ac:dyDescent="0.35">
      <c r="B16" s="5">
        <v>1983</v>
      </c>
      <c r="C16" s="22">
        <v>4.3099999999999999E-2</v>
      </c>
      <c r="D16" s="22"/>
      <c r="I16" s="22"/>
      <c r="J16" s="22"/>
      <c r="K16" s="22"/>
      <c r="L16" s="22"/>
      <c r="M16" s="22"/>
      <c r="N16" s="22"/>
      <c r="O16" s="22"/>
    </row>
    <row r="17" spans="2:16" x14ac:dyDescent="0.35">
      <c r="B17" s="5">
        <v>1984</v>
      </c>
      <c r="C17" s="22">
        <v>5.11E-2</v>
      </c>
      <c r="D17" s="22"/>
      <c r="I17" s="22"/>
      <c r="J17" s="22"/>
      <c r="K17" s="22"/>
      <c r="L17" s="22"/>
      <c r="M17" s="22"/>
      <c r="N17" s="22"/>
      <c r="O17" s="22"/>
    </row>
    <row r="18" spans="2:16" x14ac:dyDescent="0.35">
      <c r="B18" s="5">
        <v>1985</v>
      </c>
      <c r="C18" s="22">
        <v>3.8399999999999997E-2</v>
      </c>
      <c r="D18" s="22"/>
      <c r="I18" s="22"/>
      <c r="J18" s="22"/>
      <c r="K18" s="22"/>
      <c r="L18" s="22"/>
      <c r="M18" s="22"/>
      <c r="N18" s="22"/>
      <c r="O18" s="22"/>
    </row>
    <row r="19" spans="2:16" x14ac:dyDescent="0.35">
      <c r="B19" s="5">
        <v>1986</v>
      </c>
      <c r="C19" s="22">
        <v>3.5799999999999998E-2</v>
      </c>
      <c r="D19" s="22"/>
      <c r="I19" s="22"/>
      <c r="J19" s="22"/>
      <c r="K19" s="22"/>
      <c r="L19" s="22"/>
      <c r="M19" s="22"/>
      <c r="N19" s="22"/>
      <c r="O19" s="22"/>
    </row>
    <row r="20" spans="2:16" x14ac:dyDescent="0.35">
      <c r="B20" s="5">
        <v>1987</v>
      </c>
      <c r="C20" s="22">
        <v>3.9899999999999998E-2</v>
      </c>
      <c r="D20" s="22"/>
      <c r="I20" s="22"/>
      <c r="J20" s="22"/>
      <c r="K20" s="22"/>
      <c r="L20" s="22"/>
      <c r="M20" s="22"/>
      <c r="N20" s="22"/>
      <c r="O20" s="22"/>
    </row>
    <row r="21" spans="2:16" x14ac:dyDescent="0.35">
      <c r="B21" s="5">
        <v>1988</v>
      </c>
      <c r="C21" s="22">
        <v>3.7699999999999997E-2</v>
      </c>
      <c r="D21" s="22"/>
      <c r="I21" s="22"/>
      <c r="J21" s="22"/>
      <c r="K21" s="22"/>
      <c r="L21" s="22"/>
      <c r="M21" s="22"/>
      <c r="N21" s="22"/>
      <c r="O21" s="22"/>
    </row>
    <row r="22" spans="2:16" x14ac:dyDescent="0.35">
      <c r="B22" s="5">
        <v>1989</v>
      </c>
      <c r="C22" s="22">
        <v>3.5099999999999999E-2</v>
      </c>
      <c r="D22" s="22"/>
      <c r="I22" s="22"/>
      <c r="J22" s="22"/>
      <c r="K22" s="22"/>
      <c r="L22" s="22"/>
      <c r="M22" s="22"/>
      <c r="N22" s="22"/>
      <c r="O22" s="22"/>
    </row>
    <row r="23" spans="2:16" x14ac:dyDescent="0.35">
      <c r="B23" s="5">
        <v>1990</v>
      </c>
      <c r="C23" s="22">
        <v>3.8899999999999997E-2</v>
      </c>
      <c r="D23" s="22"/>
      <c r="I23" s="22"/>
      <c r="J23" s="22"/>
      <c r="K23" s="22"/>
      <c r="L23" s="22"/>
      <c r="M23" s="22"/>
      <c r="N23" s="22"/>
      <c r="O23" s="22"/>
    </row>
    <row r="24" spans="2:16" x14ac:dyDescent="0.35">
      <c r="B24" s="5">
        <v>1991</v>
      </c>
      <c r="C24" s="22">
        <v>3.4799999999999998E-2</v>
      </c>
      <c r="D24" s="22"/>
      <c r="I24" s="22"/>
      <c r="J24" s="22"/>
      <c r="K24" s="22"/>
      <c r="L24" s="22"/>
      <c r="M24" s="22"/>
      <c r="N24" s="22"/>
      <c r="O24" s="22"/>
    </row>
    <row r="25" spans="2:16" x14ac:dyDescent="0.35">
      <c r="B25" s="5">
        <v>1992</v>
      </c>
      <c r="C25" s="22">
        <v>3.5499999999999997E-2</v>
      </c>
      <c r="D25" s="22"/>
      <c r="I25" s="22"/>
      <c r="J25" s="22"/>
      <c r="K25" s="22"/>
      <c r="L25" s="22"/>
      <c r="M25" s="22"/>
      <c r="N25" s="22"/>
      <c r="O25" s="22"/>
    </row>
    <row r="26" spans="2:16" x14ac:dyDescent="0.35">
      <c r="B26" s="5">
        <v>1993</v>
      </c>
      <c r="C26" s="22">
        <v>3.1699999999999999E-2</v>
      </c>
      <c r="D26" s="22"/>
      <c r="I26" s="22"/>
      <c r="J26" s="22"/>
      <c r="K26" s="22"/>
      <c r="L26" s="22"/>
      <c r="M26" s="22"/>
      <c r="N26" s="22"/>
      <c r="O26" s="22"/>
    </row>
    <row r="27" spans="2:16" x14ac:dyDescent="0.35">
      <c r="B27" s="5">
        <v>1994</v>
      </c>
      <c r="C27" s="22">
        <v>3.5499999999999997E-2</v>
      </c>
      <c r="D27" s="22"/>
      <c r="I27" s="22"/>
      <c r="J27" s="22"/>
      <c r="K27" s="22"/>
      <c r="L27" s="22"/>
      <c r="M27" s="22"/>
      <c r="N27" s="22"/>
      <c r="O27" s="22"/>
    </row>
    <row r="28" spans="2:16" x14ac:dyDescent="0.35">
      <c r="B28" s="5">
        <v>1995</v>
      </c>
      <c r="C28" s="22">
        <v>3.2899999999999999E-2</v>
      </c>
      <c r="D28" s="22"/>
      <c r="I28" s="22"/>
      <c r="J28" s="22"/>
      <c r="K28" s="22"/>
      <c r="L28" s="22"/>
      <c r="M28" s="22"/>
      <c r="N28" s="22"/>
      <c r="O28" s="22"/>
      <c r="P28" s="22"/>
    </row>
    <row r="29" spans="2:16" x14ac:dyDescent="0.35">
      <c r="B29" s="5">
        <v>1996</v>
      </c>
      <c r="C29" s="22">
        <v>3.2000000000000001E-2</v>
      </c>
      <c r="D29" s="22"/>
      <c r="I29" s="22"/>
      <c r="J29" s="22"/>
      <c r="K29" s="22"/>
      <c r="L29" s="22"/>
      <c r="M29" s="22"/>
      <c r="N29" s="22"/>
      <c r="O29" s="22"/>
      <c r="P29" s="22"/>
    </row>
    <row r="30" spans="2:16" x14ac:dyDescent="0.35">
      <c r="B30" s="5">
        <v>1997</v>
      </c>
      <c r="C30" s="22">
        <v>2.7300000000000001E-2</v>
      </c>
      <c r="D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35">
      <c r="B31" s="5">
        <v>1998</v>
      </c>
      <c r="C31" s="22">
        <v>2.2599999999999999E-2</v>
      </c>
      <c r="D31" s="22"/>
      <c r="I31" s="22"/>
      <c r="J31" s="22"/>
      <c r="K31" s="22"/>
      <c r="L31" s="22"/>
      <c r="M31" s="22"/>
      <c r="N31" s="22"/>
      <c r="O31" s="22"/>
      <c r="P31" s="22"/>
    </row>
    <row r="32" spans="2:16" x14ac:dyDescent="0.35">
      <c r="B32" s="5">
        <v>1999</v>
      </c>
      <c r="C32" s="22">
        <v>2.0500000000000001E-2</v>
      </c>
      <c r="D32" s="22"/>
      <c r="I32" s="22"/>
      <c r="J32" s="22"/>
      <c r="K32" s="22"/>
      <c r="L32" s="22"/>
      <c r="M32" s="22"/>
      <c r="N32" s="22"/>
      <c r="O32" s="22"/>
      <c r="P32" s="22"/>
    </row>
    <row r="33" spans="2:18" x14ac:dyDescent="0.35">
      <c r="B33" s="5">
        <v>2000</v>
      </c>
      <c r="C33" s="22">
        <v>2.87E-2</v>
      </c>
      <c r="D33" s="22"/>
      <c r="I33" s="22"/>
      <c r="J33" s="22"/>
      <c r="K33" s="22"/>
      <c r="L33" s="22"/>
      <c r="M33" s="22"/>
      <c r="N33" s="22"/>
      <c r="O33" s="22"/>
      <c r="P33" s="22"/>
    </row>
    <row r="34" spans="2:18" x14ac:dyDescent="0.35">
      <c r="B34" s="5">
        <v>2001</v>
      </c>
      <c r="C34" s="22">
        <v>3.6200000000000003E-2</v>
      </c>
      <c r="D34" s="22"/>
      <c r="I34" s="22"/>
      <c r="J34" s="22"/>
      <c r="K34" s="22"/>
      <c r="L34" s="22"/>
      <c r="M34" s="22"/>
      <c r="N34" s="22"/>
      <c r="O34" s="22"/>
      <c r="P34" s="22"/>
    </row>
    <row r="35" spans="2:18" x14ac:dyDescent="0.35">
      <c r="B35" s="5">
        <v>2002</v>
      </c>
      <c r="C35" s="22">
        <v>4.1000000000000002E-2</v>
      </c>
      <c r="D35" s="22"/>
      <c r="I35" s="22"/>
      <c r="J35" s="22"/>
      <c r="K35" s="22"/>
      <c r="L35" s="22"/>
      <c r="M35" s="22"/>
      <c r="N35" s="22"/>
      <c r="O35" s="22"/>
      <c r="P35" s="22"/>
    </row>
    <row r="36" spans="2:18" x14ac:dyDescent="0.35">
      <c r="B36" s="5">
        <v>2003</v>
      </c>
      <c r="C36" s="22">
        <v>3.6900000000000002E-2</v>
      </c>
      <c r="D36" s="22"/>
      <c r="I36" s="22"/>
      <c r="J36" s="22"/>
      <c r="K36" s="22"/>
      <c r="L36" s="22"/>
      <c r="M36" s="22"/>
      <c r="N36" s="22"/>
      <c r="O36" s="22"/>
      <c r="P36" s="22"/>
    </row>
    <row r="37" spans="2:18" x14ac:dyDescent="0.35">
      <c r="B37" s="5">
        <v>2004</v>
      </c>
      <c r="C37" s="22">
        <v>3.6499999999999998E-2</v>
      </c>
      <c r="D37" s="22"/>
      <c r="I37" s="22"/>
      <c r="J37" s="22"/>
      <c r="K37" s="22"/>
      <c r="L37" s="22"/>
      <c r="M37" s="22"/>
      <c r="N37" s="22"/>
      <c r="O37" s="22"/>
      <c r="P37" s="22"/>
    </row>
    <row r="38" spans="2:18" x14ac:dyDescent="0.35">
      <c r="B38" s="5">
        <v>2005</v>
      </c>
      <c r="C38" s="22">
        <v>4.0800000000000003E-2</v>
      </c>
      <c r="D38" s="22"/>
      <c r="I38" s="22"/>
      <c r="J38" s="22"/>
      <c r="K38" s="22"/>
      <c r="L38" s="22"/>
      <c r="M38" s="22"/>
      <c r="N38" s="22"/>
      <c r="O38" s="22"/>
      <c r="P38" s="22"/>
    </row>
    <row r="39" spans="2:18" x14ac:dyDescent="0.35">
      <c r="B39" s="5">
        <v>2006</v>
      </c>
      <c r="C39" s="22">
        <v>4.1599999999999998E-2</v>
      </c>
      <c r="D39" s="22"/>
      <c r="I39" s="22"/>
      <c r="J39" s="22"/>
      <c r="K39" s="22"/>
      <c r="L39" s="22"/>
      <c r="M39" s="22"/>
      <c r="N39" s="22"/>
      <c r="O39" s="22"/>
      <c r="P39" s="22"/>
    </row>
    <row r="40" spans="2:18" x14ac:dyDescent="0.35">
      <c r="B40" s="5">
        <v>2007</v>
      </c>
      <c r="C40" s="22">
        <v>4.3700000000000003E-2</v>
      </c>
      <c r="D40" s="22"/>
      <c r="I40" s="22"/>
      <c r="J40" s="22"/>
      <c r="K40" s="22"/>
      <c r="L40" s="22"/>
      <c r="M40" s="22"/>
      <c r="N40" s="22"/>
      <c r="O40" s="22"/>
      <c r="P40" s="22"/>
    </row>
    <row r="41" spans="2:18" x14ac:dyDescent="0.35">
      <c r="B41" s="5">
        <v>2008</v>
      </c>
      <c r="C41" s="22">
        <v>6.4299999999999996E-2</v>
      </c>
      <c r="D41" s="22"/>
      <c r="I41" s="22"/>
      <c r="J41" s="22"/>
      <c r="K41" s="22"/>
      <c r="L41" s="22"/>
      <c r="M41" s="22"/>
      <c r="N41" s="22"/>
      <c r="O41" s="22"/>
      <c r="P41" s="22"/>
    </row>
    <row r="42" spans="2:18" x14ac:dyDescent="0.35">
      <c r="B42" s="5">
        <v>2009</v>
      </c>
      <c r="C42" s="22">
        <v>4.36E-2</v>
      </c>
      <c r="D42" s="22"/>
      <c r="I42" s="22"/>
      <c r="J42" s="22"/>
      <c r="K42" s="22"/>
      <c r="L42" s="22"/>
      <c r="M42" s="22"/>
      <c r="N42" s="22"/>
      <c r="O42" s="22"/>
      <c r="P42" s="22"/>
    </row>
    <row r="43" spans="2:18" x14ac:dyDescent="0.35">
      <c r="B43" s="5">
        <v>2010</v>
      </c>
      <c r="C43" s="22">
        <v>5.1999999999999998E-2</v>
      </c>
      <c r="D43" s="22"/>
      <c r="I43" s="22"/>
      <c r="J43" s="22"/>
      <c r="K43" s="22"/>
      <c r="L43" s="22"/>
      <c r="M43" s="22"/>
      <c r="N43" s="22"/>
      <c r="O43" s="22"/>
      <c r="P43" s="22"/>
    </row>
    <row r="44" spans="2:18" x14ac:dyDescent="0.35">
      <c r="B44" s="5">
        <v>2011</v>
      </c>
      <c r="C44" s="22">
        <v>6.0100000000000001E-2</v>
      </c>
      <c r="D44" s="22"/>
      <c r="I44" s="22"/>
      <c r="J44" s="22"/>
      <c r="K44" s="22"/>
      <c r="L44" s="22"/>
      <c r="M44" s="22"/>
      <c r="N44" s="22"/>
      <c r="O44" s="22"/>
      <c r="P44" s="22"/>
      <c r="R44" s="22"/>
    </row>
    <row r="45" spans="2:18" x14ac:dyDescent="0.35">
      <c r="B45" s="5">
        <v>2012</v>
      </c>
      <c r="C45" s="22">
        <v>5.7799999999999997E-2</v>
      </c>
      <c r="D45" s="22"/>
      <c r="I45" s="22"/>
      <c r="J45" s="22"/>
      <c r="K45" s="22"/>
      <c r="L45" s="22"/>
      <c r="M45" s="22"/>
      <c r="N45" s="22"/>
      <c r="O45" s="22"/>
      <c r="P45" s="22"/>
      <c r="R45" s="22"/>
    </row>
    <row r="46" spans="2:18" x14ac:dyDescent="0.35">
      <c r="B46" s="5">
        <v>2013</v>
      </c>
      <c r="C46" s="22">
        <v>4.9599999999999998E-2</v>
      </c>
      <c r="D46" s="22"/>
      <c r="I46" s="22"/>
      <c r="J46" s="22"/>
      <c r="K46" s="22"/>
      <c r="L46" s="22"/>
      <c r="M46" s="22"/>
      <c r="N46" s="22"/>
      <c r="O46" s="22"/>
      <c r="P46" s="22"/>
      <c r="R46" s="22"/>
    </row>
    <row r="47" spans="2:18" x14ac:dyDescent="0.35">
      <c r="B47" s="5">
        <v>2014</v>
      </c>
      <c r="C47" s="22">
        <v>5.7799999999999997E-2</v>
      </c>
      <c r="D47" s="22"/>
      <c r="I47" s="22"/>
      <c r="J47" s="22"/>
      <c r="K47" s="22"/>
      <c r="L47" s="22"/>
      <c r="M47" s="22"/>
      <c r="N47" s="22"/>
      <c r="O47" s="22"/>
      <c r="P47" s="22"/>
      <c r="R47" s="22"/>
    </row>
    <row r="48" spans="2:18" x14ac:dyDescent="0.35">
      <c r="B48" s="5">
        <v>2015</v>
      </c>
      <c r="C48" s="22">
        <v>6.1199999999999997E-2</v>
      </c>
      <c r="D48" s="22"/>
      <c r="I48" s="22"/>
      <c r="J48" s="22"/>
      <c r="K48" s="22"/>
      <c r="L48" s="22"/>
      <c r="M48" s="22"/>
      <c r="N48" s="22"/>
      <c r="O48" s="22"/>
      <c r="P48" s="22"/>
      <c r="R48" s="22"/>
    </row>
    <row r="49" spans="2:18" x14ac:dyDescent="0.35">
      <c r="B49" s="5">
        <v>2016</v>
      </c>
      <c r="C49" s="22">
        <v>5.6899999999999999E-2</v>
      </c>
      <c r="D49" s="22"/>
      <c r="I49" s="22"/>
      <c r="J49" s="22"/>
      <c r="K49" s="22"/>
      <c r="L49" s="22"/>
      <c r="M49" s="22"/>
      <c r="N49" s="22"/>
      <c r="O49" s="22"/>
      <c r="P49" s="22"/>
      <c r="R49" s="22"/>
    </row>
    <row r="50" spans="2:18" x14ac:dyDescent="0.35">
      <c r="B50" s="5">
        <v>2017</v>
      </c>
      <c r="C50" s="22">
        <v>5.0799999999999998E-2</v>
      </c>
      <c r="D50" s="22"/>
      <c r="I50" s="22"/>
      <c r="J50" s="22"/>
      <c r="K50" s="22"/>
      <c r="L50" s="22"/>
      <c r="M50" s="22"/>
      <c r="N50" s="22"/>
      <c r="O50" s="22"/>
      <c r="P50" s="22"/>
      <c r="R50" s="22"/>
    </row>
    <row r="51" spans="2:18" x14ac:dyDescent="0.35">
      <c r="B51" s="5">
        <v>2018</v>
      </c>
      <c r="C51" s="22">
        <v>5.96E-2</v>
      </c>
      <c r="D51" s="22"/>
      <c r="I51" s="22"/>
      <c r="J51" s="22"/>
      <c r="K51" s="22"/>
      <c r="L51" s="22"/>
      <c r="M51" s="22"/>
      <c r="N51" s="22"/>
      <c r="O51" s="22"/>
      <c r="P51" s="22"/>
      <c r="R51" s="22"/>
    </row>
    <row r="52" spans="2:18" x14ac:dyDescent="0.35">
      <c r="B52" s="5">
        <v>2019</v>
      </c>
      <c r="C52" s="22">
        <v>5.1999999999999998E-2</v>
      </c>
      <c r="D52" s="22"/>
      <c r="I52" s="22"/>
      <c r="J52" s="22"/>
      <c r="K52" s="22"/>
      <c r="L52" s="22"/>
      <c r="M52" s="22"/>
      <c r="N52" s="22"/>
      <c r="O52" s="22"/>
      <c r="P52" s="22"/>
      <c r="R52" s="22"/>
    </row>
    <row r="53" spans="2:18" x14ac:dyDescent="0.35">
      <c r="B53" s="5">
        <v>2020</v>
      </c>
      <c r="C53" s="22">
        <v>4.7199999999999999E-2</v>
      </c>
      <c r="D53" s="22"/>
      <c r="I53" s="22"/>
      <c r="J53" s="22"/>
      <c r="K53" s="22"/>
      <c r="L53" s="22"/>
      <c r="M53" s="22"/>
      <c r="N53" s="22"/>
      <c r="O53" s="22"/>
      <c r="P53" s="22"/>
      <c r="R53" s="22"/>
    </row>
    <row r="54" spans="2:18" x14ac:dyDescent="0.35">
      <c r="B54" s="5">
        <v>2021</v>
      </c>
      <c r="C54" s="22">
        <v>4.24E-2</v>
      </c>
      <c r="D54" s="22"/>
      <c r="I54" s="22"/>
      <c r="J54" s="22"/>
      <c r="K54" s="22"/>
      <c r="L54" s="22"/>
      <c r="M54" s="22"/>
      <c r="N54" s="22"/>
      <c r="O54" s="22"/>
      <c r="P54" s="22"/>
      <c r="R54" s="22"/>
    </row>
    <row r="55" spans="2:18" x14ac:dyDescent="0.35">
      <c r="B55" s="5">
        <v>2022</v>
      </c>
      <c r="C55" s="22">
        <v>5.9400000000000001E-2</v>
      </c>
      <c r="D55" s="22"/>
      <c r="I55" s="22"/>
      <c r="J55" s="22"/>
      <c r="K55" s="22"/>
      <c r="L55" s="22"/>
      <c r="M55" s="22"/>
      <c r="N55" s="22"/>
      <c r="O55" s="22"/>
      <c r="P55" s="22"/>
      <c r="R55" s="22"/>
    </row>
    <row r="56" spans="2:18" x14ac:dyDescent="0.35">
      <c r="B56" s="5">
        <v>2023</v>
      </c>
      <c r="C56" s="22">
        <v>4.5999999999999999E-2</v>
      </c>
      <c r="D56" s="22"/>
      <c r="I56" s="22"/>
      <c r="J56" s="22"/>
      <c r="K56" s="22"/>
      <c r="L56" s="22"/>
      <c r="M56" s="22"/>
      <c r="N56" s="22"/>
      <c r="O56" s="22"/>
      <c r="P56" s="22"/>
      <c r="R56" s="22"/>
    </row>
    <row r="57" spans="2:18" x14ac:dyDescent="0.35">
      <c r="B57" s="46" t="s">
        <v>134</v>
      </c>
      <c r="C57" s="46" t="s">
        <v>135</v>
      </c>
      <c r="D57" s="22"/>
      <c r="I57" s="22"/>
      <c r="J57" s="22"/>
      <c r="K57" s="22"/>
      <c r="L57" s="22"/>
      <c r="M57" s="22"/>
      <c r="N57" s="22"/>
      <c r="O57" s="22"/>
      <c r="P57" s="22"/>
      <c r="R57" s="22"/>
    </row>
    <row r="58" spans="2:18" x14ac:dyDescent="0.35">
      <c r="D58" s="22"/>
      <c r="I58" s="22"/>
      <c r="J58" s="22"/>
      <c r="K58" s="22"/>
      <c r="L58" s="22"/>
      <c r="M58" s="22"/>
      <c r="N58" s="22"/>
      <c r="O58" s="22"/>
      <c r="P58" s="22"/>
      <c r="R58" s="22"/>
    </row>
    <row r="59" spans="2:18" x14ac:dyDescent="0.35">
      <c r="D59" s="22"/>
      <c r="I59" s="22"/>
      <c r="J59" s="22"/>
      <c r="K59" s="22"/>
      <c r="L59" s="22"/>
      <c r="M59" s="22"/>
      <c r="N59" s="22"/>
      <c r="O59" s="22"/>
      <c r="P59" s="22"/>
      <c r="R59" s="22"/>
    </row>
    <row r="60" spans="2:18" x14ac:dyDescent="0.35">
      <c r="D60" s="22"/>
      <c r="I60" s="22"/>
      <c r="J60" s="22"/>
      <c r="K60" s="22"/>
      <c r="L60" s="22"/>
      <c r="M60" s="22"/>
      <c r="N60" s="22"/>
      <c r="O60" s="22"/>
      <c r="P60" s="22"/>
      <c r="R60" s="22"/>
    </row>
    <row r="61" spans="2:18" x14ac:dyDescent="0.35">
      <c r="D61" s="22"/>
      <c r="I61" s="22"/>
      <c r="J61" s="22"/>
      <c r="K61" s="22"/>
      <c r="L61" s="22"/>
      <c r="M61" s="22"/>
      <c r="N61" s="22"/>
      <c r="O61" s="22"/>
      <c r="P61" s="22"/>
      <c r="R61" s="22"/>
    </row>
    <row r="62" spans="2:18" x14ac:dyDescent="0.35">
      <c r="D62" s="22"/>
      <c r="I62" s="22"/>
      <c r="J62" s="22"/>
      <c r="K62" s="22"/>
      <c r="L62" s="22"/>
      <c r="M62" s="22"/>
      <c r="N62" s="22"/>
      <c r="O62" s="22"/>
      <c r="P62" s="22"/>
      <c r="R62" s="22"/>
    </row>
    <row r="63" spans="2:18" x14ac:dyDescent="0.35">
      <c r="D63" s="22"/>
      <c r="I63" s="22"/>
      <c r="J63" s="22"/>
      <c r="K63" s="22"/>
      <c r="L63" s="22"/>
      <c r="M63" s="22"/>
      <c r="N63" s="22"/>
      <c r="O63" s="22"/>
      <c r="P63" s="22"/>
      <c r="R63" s="22"/>
    </row>
    <row r="64" spans="2:18" x14ac:dyDescent="0.35">
      <c r="D64" s="22"/>
      <c r="I64" s="22"/>
      <c r="J64" s="22"/>
      <c r="K64" s="22"/>
      <c r="L64" s="22"/>
      <c r="M64" s="22"/>
      <c r="N64" s="22"/>
      <c r="O64" s="22"/>
      <c r="P64" s="22"/>
      <c r="R64" s="22"/>
    </row>
    <row r="65" spans="4:18" x14ac:dyDescent="0.35">
      <c r="D65" s="22"/>
      <c r="I65" s="22"/>
      <c r="J65" s="22"/>
      <c r="K65" s="22"/>
      <c r="L65" s="22"/>
      <c r="M65" s="22"/>
      <c r="N65" s="22"/>
      <c r="O65" s="22"/>
      <c r="P65" s="22"/>
      <c r="R65" s="22"/>
    </row>
    <row r="66" spans="4:18" x14ac:dyDescent="0.35">
      <c r="D66" s="22"/>
      <c r="I66" s="22"/>
      <c r="J66" s="22"/>
      <c r="K66" s="22"/>
      <c r="L66" s="22"/>
      <c r="M66" s="22"/>
      <c r="N66" s="22"/>
      <c r="O66" s="22"/>
      <c r="P66" s="22"/>
      <c r="R66" s="22"/>
    </row>
  </sheetData>
  <pageMargins left="0.7" right="0.7" top="0.75" bottom="0.75" header="0.3" footer="0.3"/>
  <ignoredErrors>
    <ignoredError sqref="H3 H5 H7 H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9CB3-9DE1-4933-B464-2574DF492E77}">
  <dimension ref="B2:M98"/>
  <sheetViews>
    <sheetView showGridLines="0" topLeftCell="F1" zoomScale="121" workbookViewId="0">
      <selection activeCell="O10" sqref="A1:XFD1048576"/>
    </sheetView>
  </sheetViews>
  <sheetFormatPr defaultRowHeight="14.5" x14ac:dyDescent="0.35"/>
  <cols>
    <col min="1" max="1" width="8.796875" style="5"/>
    <col min="2" max="2" width="33" style="5" bestFit="1" customWidth="1"/>
    <col min="3" max="3" width="13.796875" style="5" bestFit="1" customWidth="1"/>
    <col min="4" max="4" width="11.3984375" style="5" bestFit="1" customWidth="1"/>
    <col min="5" max="5" width="18.8984375" style="5" bestFit="1" customWidth="1"/>
    <col min="6" max="6" width="11.69921875" style="5" customWidth="1"/>
    <col min="7" max="7" width="18.296875" style="5" customWidth="1"/>
    <col min="8" max="8" width="11.296875" style="5" bestFit="1" customWidth="1"/>
    <col min="9" max="9" width="10.296875" style="5" customWidth="1"/>
    <col min="10" max="10" width="8.796875" style="5"/>
    <col min="11" max="11" width="15.09765625" style="5" customWidth="1"/>
    <col min="12" max="12" width="10.296875" style="5" bestFit="1" customWidth="1"/>
    <col min="13" max="16384" width="8.796875" style="5"/>
  </cols>
  <sheetData>
    <row r="2" spans="2:13" x14ac:dyDescent="0.35">
      <c r="B2" s="5" t="s">
        <v>16</v>
      </c>
      <c r="C2" s="5" t="s">
        <v>17</v>
      </c>
      <c r="D2" s="5" t="s">
        <v>18</v>
      </c>
      <c r="E2" s="5" t="s">
        <v>116</v>
      </c>
      <c r="F2" s="5" t="s">
        <v>117</v>
      </c>
      <c r="G2" s="5" t="s">
        <v>14</v>
      </c>
      <c r="H2" s="5" t="s">
        <v>115</v>
      </c>
      <c r="I2" s="5" t="s">
        <v>119</v>
      </c>
    </row>
    <row r="3" spans="2:13" x14ac:dyDescent="0.35">
      <c r="B3" s="5" t="s">
        <v>19</v>
      </c>
      <c r="C3" s="5">
        <v>57</v>
      </c>
      <c r="D3" s="43">
        <v>1059.3599999999999</v>
      </c>
      <c r="E3" s="5">
        <v>374.54</v>
      </c>
      <c r="F3" s="22">
        <v>282.83999999999997</v>
      </c>
      <c r="G3" s="5">
        <f>3012</f>
        <v>3012</v>
      </c>
      <c r="H3" s="22">
        <v>19.526399999999999</v>
      </c>
      <c r="J3" s="43"/>
    </row>
    <row r="4" spans="2:13" x14ac:dyDescent="0.35">
      <c r="B4" s="5" t="s">
        <v>20</v>
      </c>
      <c r="C4" s="5">
        <v>70</v>
      </c>
      <c r="D4" s="43">
        <v>10325.450000000001</v>
      </c>
      <c r="E4" s="43">
        <v>19229.93</v>
      </c>
      <c r="F4" s="22">
        <v>53.69</v>
      </c>
      <c r="G4" s="43">
        <v>25778.400000000001</v>
      </c>
      <c r="H4" s="43">
        <f>IF(D4&gt;G4,0,G4-D4)</f>
        <v>15452.95</v>
      </c>
      <c r="I4" s="34">
        <f>IFERROR(H4/D4,0)</f>
        <v>1.4965885264080501</v>
      </c>
      <c r="K4" s="8" t="s">
        <v>118</v>
      </c>
      <c r="L4" s="8">
        <f>AVERAGE(H4:H98)</f>
        <v>25741.398315789473</v>
      </c>
      <c r="M4" s="44"/>
    </row>
    <row r="5" spans="2:13" x14ac:dyDescent="0.35">
      <c r="B5" s="5" t="s">
        <v>21</v>
      </c>
      <c r="C5" s="5">
        <v>25</v>
      </c>
      <c r="D5" s="5">
        <v>503.1</v>
      </c>
      <c r="E5" s="43">
        <v>6398.1</v>
      </c>
      <c r="F5" s="22">
        <v>7.86</v>
      </c>
      <c r="G5" s="5">
        <v>986.34</v>
      </c>
      <c r="H5" s="43">
        <f t="shared" ref="H5:H68" si="0">IF(D5&gt;G5,0,G5-D5)</f>
        <v>483.24</v>
      </c>
      <c r="I5" s="34">
        <f t="shared" ref="I5:I68" si="1">IFERROR(H5/D5,0)</f>
        <v>0.96052474657125819</v>
      </c>
      <c r="K5" s="8" t="s">
        <v>118</v>
      </c>
      <c r="L5" s="8">
        <f>AVERAGE(I4:I96)</f>
        <v>218.40361930641586</v>
      </c>
      <c r="M5" s="44"/>
    </row>
    <row r="6" spans="2:13" x14ac:dyDescent="0.35">
      <c r="B6" s="5" t="s">
        <v>22</v>
      </c>
      <c r="C6" s="5">
        <v>38</v>
      </c>
      <c r="D6" s="43">
        <v>1691.36</v>
      </c>
      <c r="E6" s="43">
        <v>2255.65</v>
      </c>
      <c r="F6" s="22">
        <v>74.98</v>
      </c>
      <c r="G6" s="43">
        <v>3578.14</v>
      </c>
      <c r="H6" s="43">
        <f t="shared" si="0"/>
        <v>1886.78</v>
      </c>
      <c r="I6" s="34">
        <f t="shared" si="1"/>
        <v>1.1155401570333934</v>
      </c>
      <c r="J6" s="22"/>
      <c r="K6" s="8" t="s">
        <v>120</v>
      </c>
      <c r="L6" s="45">
        <f>TRIMMEAN(I4:I98,0.3)</f>
        <v>1.370197470891777</v>
      </c>
      <c r="M6" s="44"/>
    </row>
    <row r="7" spans="2:13" x14ac:dyDescent="0.35">
      <c r="B7" s="5" t="s">
        <v>23</v>
      </c>
      <c r="C7" s="5">
        <v>34</v>
      </c>
      <c r="D7" s="43">
        <v>5839.1</v>
      </c>
      <c r="E7" s="43">
        <v>16467.080000000002</v>
      </c>
      <c r="F7" s="22">
        <v>35.46</v>
      </c>
      <c r="G7" s="43">
        <v>8873.2800000000007</v>
      </c>
      <c r="H7" s="43">
        <f t="shared" si="0"/>
        <v>3034.1800000000003</v>
      </c>
      <c r="I7" s="34">
        <f t="shared" si="1"/>
        <v>0.5196314500522341</v>
      </c>
    </row>
    <row r="8" spans="2:13" x14ac:dyDescent="0.35">
      <c r="B8" s="5" t="s">
        <v>24</v>
      </c>
      <c r="C8" s="5">
        <v>39</v>
      </c>
      <c r="D8" s="5">
        <v>705.75</v>
      </c>
      <c r="E8" s="43">
        <v>1555.7</v>
      </c>
      <c r="F8" s="22">
        <v>45.37</v>
      </c>
      <c r="G8" s="43">
        <v>1237.74</v>
      </c>
      <c r="H8" s="43">
        <f t="shared" si="0"/>
        <v>531.99</v>
      </c>
      <c r="I8" s="34">
        <f t="shared" si="1"/>
        <v>0.75379383634431463</v>
      </c>
    </row>
    <row r="9" spans="2:13" x14ac:dyDescent="0.35">
      <c r="B9" s="5" t="s">
        <v>25</v>
      </c>
      <c r="C9" s="5">
        <v>15</v>
      </c>
      <c r="D9" s="43">
        <v>34903.050000000003</v>
      </c>
      <c r="E9" s="43">
        <v>143409.88</v>
      </c>
      <c r="F9" s="22">
        <v>24.34</v>
      </c>
      <c r="G9" s="43">
        <v>36941</v>
      </c>
      <c r="H9" s="43">
        <f t="shared" si="0"/>
        <v>2037.9499999999971</v>
      </c>
      <c r="I9" s="34">
        <f t="shared" si="1"/>
        <v>5.8388880054894829E-2</v>
      </c>
    </row>
    <row r="10" spans="2:13" x14ac:dyDescent="0.35">
      <c r="B10" s="5" t="s">
        <v>26</v>
      </c>
      <c r="C10" s="5">
        <v>625</v>
      </c>
      <c r="D10" s="43">
        <v>18260.63</v>
      </c>
      <c r="E10" s="43">
        <v>57038.42</v>
      </c>
      <c r="F10" s="22">
        <v>32.01</v>
      </c>
      <c r="G10" s="43">
        <v>23938.6</v>
      </c>
      <c r="H10" s="43">
        <f t="shared" si="0"/>
        <v>5677.9699999999975</v>
      </c>
      <c r="I10" s="34">
        <f t="shared" si="1"/>
        <v>0.31094053162459329</v>
      </c>
    </row>
    <row r="11" spans="2:13" x14ac:dyDescent="0.35">
      <c r="B11" s="5" t="s">
        <v>27</v>
      </c>
      <c r="C11" s="5">
        <v>19</v>
      </c>
      <c r="D11" s="43">
        <v>1374.5</v>
      </c>
      <c r="E11" s="43">
        <v>2515.8000000000002</v>
      </c>
      <c r="F11" s="22">
        <v>54.63</v>
      </c>
      <c r="G11" s="43">
        <v>1909.32</v>
      </c>
      <c r="H11" s="43">
        <f t="shared" si="0"/>
        <v>534.81999999999994</v>
      </c>
      <c r="I11" s="34">
        <f t="shared" si="1"/>
        <v>0.38910149145143685</v>
      </c>
    </row>
    <row r="12" spans="2:13" x14ac:dyDescent="0.35">
      <c r="B12" s="5" t="s">
        <v>28</v>
      </c>
      <c r="C12" s="5">
        <v>29</v>
      </c>
      <c r="D12" s="43">
        <v>15531.3</v>
      </c>
      <c r="E12" s="43">
        <v>23394.15</v>
      </c>
      <c r="F12" s="22">
        <v>66.39</v>
      </c>
      <c r="G12" s="43">
        <v>19583.240000000002</v>
      </c>
      <c r="H12" s="43">
        <f t="shared" si="0"/>
        <v>4051.9400000000023</v>
      </c>
      <c r="I12" s="34">
        <f t="shared" si="1"/>
        <v>0.26088865709889081</v>
      </c>
    </row>
    <row r="13" spans="2:13" x14ac:dyDescent="0.35">
      <c r="B13" s="5" t="s">
        <v>29</v>
      </c>
      <c r="C13" s="5">
        <v>22</v>
      </c>
      <c r="D13" s="43">
        <v>1166.8900000000001</v>
      </c>
      <c r="E13" s="43">
        <v>-1028.55</v>
      </c>
      <c r="F13" s="22">
        <v>0.22</v>
      </c>
      <c r="G13" s="43">
        <v>4534.3900000000003</v>
      </c>
      <c r="H13" s="43">
        <f t="shared" si="0"/>
        <v>3367.5</v>
      </c>
      <c r="I13" s="34">
        <f t="shared" si="1"/>
        <v>2.8858761322832485</v>
      </c>
    </row>
    <row r="14" spans="2:13" x14ac:dyDescent="0.35">
      <c r="B14" s="5" t="s">
        <v>30</v>
      </c>
      <c r="C14" s="5">
        <v>27</v>
      </c>
      <c r="D14" s="43">
        <v>12346.39</v>
      </c>
      <c r="E14" s="43">
        <v>28366.14</v>
      </c>
      <c r="F14" s="22">
        <v>43.53</v>
      </c>
      <c r="G14" s="43">
        <v>26575.42</v>
      </c>
      <c r="H14" s="43">
        <f t="shared" si="0"/>
        <v>14229.029999999999</v>
      </c>
      <c r="I14" s="34">
        <f t="shared" si="1"/>
        <v>1.1524850583854875</v>
      </c>
    </row>
    <row r="15" spans="2:13" x14ac:dyDescent="0.35">
      <c r="B15" s="5" t="s">
        <v>31</v>
      </c>
      <c r="C15" s="5">
        <v>44</v>
      </c>
      <c r="D15" s="43">
        <v>3011.12</v>
      </c>
      <c r="E15" s="43">
        <v>10376.23</v>
      </c>
      <c r="F15" s="22">
        <v>29.02</v>
      </c>
      <c r="G15" s="43">
        <v>9197.9599999999991</v>
      </c>
      <c r="H15" s="43">
        <f t="shared" si="0"/>
        <v>6186.8399999999992</v>
      </c>
      <c r="I15" s="34">
        <f t="shared" si="1"/>
        <v>2.0546640452721907</v>
      </c>
    </row>
    <row r="16" spans="2:13" x14ac:dyDescent="0.35">
      <c r="B16" s="5" t="s">
        <v>32</v>
      </c>
      <c r="C16" s="5">
        <v>162</v>
      </c>
      <c r="D16" s="43">
        <v>8152.71</v>
      </c>
      <c r="E16" s="43">
        <v>13637.17</v>
      </c>
      <c r="F16" s="22">
        <v>59.78</v>
      </c>
      <c r="G16" s="43">
        <v>20753.97</v>
      </c>
      <c r="H16" s="43">
        <f t="shared" si="0"/>
        <v>12601.260000000002</v>
      </c>
      <c r="I16" s="34">
        <f t="shared" si="1"/>
        <v>1.5456529178641214</v>
      </c>
    </row>
    <row r="17" spans="2:9" x14ac:dyDescent="0.35">
      <c r="B17" s="5" t="s">
        <v>33</v>
      </c>
      <c r="C17" s="5">
        <v>10</v>
      </c>
      <c r="D17" s="43">
        <v>5197</v>
      </c>
      <c r="E17" s="43">
        <v>23701.3</v>
      </c>
      <c r="F17" s="22">
        <v>21.93</v>
      </c>
      <c r="G17" s="43">
        <v>20472.099999999999</v>
      </c>
      <c r="H17" s="43">
        <f t="shared" si="0"/>
        <v>15275.099999999999</v>
      </c>
      <c r="I17" s="34">
        <f t="shared" si="1"/>
        <v>2.9392149316913603</v>
      </c>
    </row>
    <row r="18" spans="2:9" x14ac:dyDescent="0.35">
      <c r="B18" s="5" t="s">
        <v>34</v>
      </c>
      <c r="C18" s="5">
        <v>32</v>
      </c>
      <c r="D18" s="43">
        <v>5979.3</v>
      </c>
      <c r="E18" s="43">
        <v>4555.08</v>
      </c>
      <c r="F18" s="22">
        <v>131.27000000000001</v>
      </c>
      <c r="G18" s="43">
        <v>8011.66</v>
      </c>
      <c r="H18" s="43">
        <f t="shared" si="0"/>
        <v>2032.3599999999997</v>
      </c>
      <c r="I18" s="34">
        <f t="shared" si="1"/>
        <v>0.3398993193183148</v>
      </c>
    </row>
    <row r="19" spans="2:9" x14ac:dyDescent="0.35">
      <c r="B19" s="5" t="s">
        <v>35</v>
      </c>
      <c r="C19" s="5">
        <v>4</v>
      </c>
      <c r="D19" s="5">
        <v>317</v>
      </c>
      <c r="E19" s="5">
        <v>-131.85</v>
      </c>
      <c r="F19" s="22">
        <v>1.04</v>
      </c>
      <c r="G19" s="43">
        <v>1202.4000000000001</v>
      </c>
      <c r="H19" s="43">
        <f t="shared" si="0"/>
        <v>885.40000000000009</v>
      </c>
      <c r="I19" s="34">
        <f t="shared" si="1"/>
        <v>2.7930599369085178</v>
      </c>
    </row>
    <row r="20" spans="2:9" x14ac:dyDescent="0.35">
      <c r="B20" s="5" t="s">
        <v>36</v>
      </c>
      <c r="C20" s="5">
        <v>68</v>
      </c>
      <c r="D20" s="43">
        <v>7981.39</v>
      </c>
      <c r="E20" s="43">
        <v>24004.23</v>
      </c>
      <c r="F20" s="22">
        <v>33.25</v>
      </c>
      <c r="G20" s="43">
        <v>17831.830000000002</v>
      </c>
      <c r="H20" s="43">
        <f t="shared" si="0"/>
        <v>9850.4400000000023</v>
      </c>
      <c r="I20" s="34">
        <f t="shared" si="1"/>
        <v>1.234176001924477</v>
      </c>
    </row>
    <row r="21" spans="2:9" x14ac:dyDescent="0.35">
      <c r="B21" s="5" t="s">
        <v>37</v>
      </c>
      <c r="C21" s="5">
        <v>18</v>
      </c>
      <c r="D21" s="5">
        <v>248.95</v>
      </c>
      <c r="E21" s="43">
        <v>1642.62</v>
      </c>
      <c r="F21" s="22">
        <v>15.16</v>
      </c>
      <c r="G21" s="5">
        <v>855.04</v>
      </c>
      <c r="H21" s="43">
        <f t="shared" si="0"/>
        <v>606.08999999999992</v>
      </c>
      <c r="I21" s="34">
        <f t="shared" si="1"/>
        <v>2.4345852580839522</v>
      </c>
    </row>
    <row r="22" spans="2:9" x14ac:dyDescent="0.35">
      <c r="B22" s="5" t="s">
        <v>38</v>
      </c>
      <c r="C22" s="5">
        <v>72</v>
      </c>
      <c r="D22" s="43">
        <v>7387.79</v>
      </c>
      <c r="E22" s="43">
        <v>12944.54</v>
      </c>
      <c r="F22" s="22">
        <v>57.07</v>
      </c>
      <c r="G22" s="43">
        <v>13418.51</v>
      </c>
      <c r="H22" s="43">
        <f t="shared" si="0"/>
        <v>6030.72</v>
      </c>
      <c r="I22" s="34">
        <f t="shared" si="1"/>
        <v>0.81630907213117865</v>
      </c>
    </row>
    <row r="23" spans="2:9" x14ac:dyDescent="0.35">
      <c r="B23" s="5" t="s">
        <v>39</v>
      </c>
      <c r="C23" s="5">
        <v>36</v>
      </c>
      <c r="D23" s="43">
        <v>18324.54</v>
      </c>
      <c r="E23" s="43">
        <v>105048.42</v>
      </c>
      <c r="F23" s="22">
        <v>17.440000000000001</v>
      </c>
      <c r="G23" s="43">
        <v>105752.02</v>
      </c>
      <c r="H23" s="43">
        <f t="shared" si="0"/>
        <v>87427.48000000001</v>
      </c>
      <c r="I23" s="34">
        <f t="shared" si="1"/>
        <v>4.7710600102376377</v>
      </c>
    </row>
    <row r="24" spans="2:9" x14ac:dyDescent="0.35">
      <c r="B24" s="5" t="s">
        <v>40</v>
      </c>
      <c r="C24" s="5">
        <v>45</v>
      </c>
      <c r="D24" s="43">
        <v>4982.7700000000004</v>
      </c>
      <c r="E24" s="43">
        <v>21014.31</v>
      </c>
      <c r="F24" s="22">
        <v>23.71</v>
      </c>
      <c r="G24" s="43">
        <v>9545.7000000000007</v>
      </c>
      <c r="H24" s="43">
        <f t="shared" si="0"/>
        <v>4562.93</v>
      </c>
      <c r="I24" s="34">
        <f t="shared" si="1"/>
        <v>0.91574164571112049</v>
      </c>
    </row>
    <row r="25" spans="2:9" x14ac:dyDescent="0.35">
      <c r="B25" s="5" t="s">
        <v>41</v>
      </c>
      <c r="C25" s="5">
        <v>23</v>
      </c>
      <c r="D25" s="43">
        <v>6830.39</v>
      </c>
      <c r="E25" s="43">
        <v>83700.19</v>
      </c>
      <c r="F25" s="22">
        <v>8.16</v>
      </c>
      <c r="G25" s="43">
        <v>21665.279999999999</v>
      </c>
      <c r="H25" s="43">
        <f t="shared" si="0"/>
        <v>14834.89</v>
      </c>
      <c r="I25" s="34">
        <f t="shared" si="1"/>
        <v>2.1718950162435817</v>
      </c>
    </row>
    <row r="26" spans="2:9" x14ac:dyDescent="0.35">
      <c r="B26" s="5" t="s">
        <v>42</v>
      </c>
      <c r="C26" s="5">
        <v>572</v>
      </c>
      <c r="D26" s="43">
        <v>18656.009999999998</v>
      </c>
      <c r="E26" s="43">
        <v>-22460.7</v>
      </c>
      <c r="F26" s="22">
        <v>0.09</v>
      </c>
      <c r="G26" s="43">
        <v>28116.03</v>
      </c>
      <c r="H26" s="43">
        <f t="shared" si="0"/>
        <v>9460.02</v>
      </c>
      <c r="I26" s="34">
        <f t="shared" si="1"/>
        <v>0.50707627193596061</v>
      </c>
    </row>
    <row r="27" spans="2:9" x14ac:dyDescent="0.35">
      <c r="B27" s="5" t="s">
        <v>43</v>
      </c>
      <c r="C27" s="5">
        <v>245</v>
      </c>
      <c r="D27" s="43">
        <v>38968.19</v>
      </c>
      <c r="E27" s="43">
        <v>55701.98</v>
      </c>
      <c r="F27" s="22">
        <v>69.959999999999994</v>
      </c>
      <c r="G27" s="43">
        <v>56847.97</v>
      </c>
      <c r="H27" s="43">
        <f t="shared" si="0"/>
        <v>17879.78</v>
      </c>
      <c r="I27" s="34">
        <f t="shared" si="1"/>
        <v>0.4588301381203489</v>
      </c>
    </row>
    <row r="28" spans="2:9" x14ac:dyDescent="0.35">
      <c r="B28" s="5" t="s">
        <v>44</v>
      </c>
      <c r="C28" s="5">
        <v>31</v>
      </c>
      <c r="D28" s="5">
        <v>97.12</v>
      </c>
      <c r="E28" s="5">
        <v>255.05</v>
      </c>
      <c r="F28" s="22">
        <v>38.08</v>
      </c>
      <c r="G28" s="43">
        <v>1063.1400000000001</v>
      </c>
      <c r="H28" s="43">
        <f t="shared" si="0"/>
        <v>966.0200000000001</v>
      </c>
      <c r="I28" s="34">
        <f t="shared" si="1"/>
        <v>9.9466639209225711</v>
      </c>
    </row>
    <row r="29" spans="2:9" x14ac:dyDescent="0.35">
      <c r="B29" s="5" t="s">
        <v>45</v>
      </c>
      <c r="C29" s="5">
        <v>103</v>
      </c>
      <c r="D29" s="43">
        <v>2451.02</v>
      </c>
      <c r="E29" s="43">
        <v>14268.5</v>
      </c>
      <c r="F29" s="22">
        <v>17.18</v>
      </c>
      <c r="G29" s="43">
        <v>8318.2000000000007</v>
      </c>
      <c r="H29" s="43">
        <f t="shared" si="0"/>
        <v>5867.18</v>
      </c>
      <c r="I29" s="34">
        <f t="shared" si="1"/>
        <v>2.3937707566645723</v>
      </c>
    </row>
    <row r="30" spans="2:9" x14ac:dyDescent="0.35">
      <c r="B30" s="5" t="s">
        <v>46</v>
      </c>
      <c r="C30" s="5">
        <v>13</v>
      </c>
      <c r="D30" s="5">
        <v>0</v>
      </c>
      <c r="E30" s="5">
        <v>-196.81</v>
      </c>
      <c r="F30" s="22">
        <v>0</v>
      </c>
      <c r="G30" s="5">
        <v>193.63</v>
      </c>
      <c r="H30" s="43">
        <f t="shared" si="0"/>
        <v>193.63</v>
      </c>
      <c r="I30" s="34">
        <f t="shared" si="1"/>
        <v>0</v>
      </c>
    </row>
    <row r="31" spans="2:9" x14ac:dyDescent="0.35">
      <c r="B31" s="5" t="s">
        <v>47</v>
      </c>
      <c r="C31" s="5">
        <v>129</v>
      </c>
      <c r="D31" s="43">
        <v>1831.58</v>
      </c>
      <c r="E31" s="43">
        <v>6420.54</v>
      </c>
      <c r="F31" s="22">
        <v>28.53</v>
      </c>
      <c r="G31" s="43">
        <v>5595.9</v>
      </c>
      <c r="H31" s="43">
        <f t="shared" si="0"/>
        <v>3764.3199999999997</v>
      </c>
      <c r="I31" s="34">
        <f t="shared" si="1"/>
        <v>2.0552310027408027</v>
      </c>
    </row>
    <row r="32" spans="2:9" x14ac:dyDescent="0.35">
      <c r="B32" s="5" t="s">
        <v>48</v>
      </c>
      <c r="C32" s="5">
        <v>43</v>
      </c>
      <c r="D32" s="5">
        <v>492.6</v>
      </c>
      <c r="E32" s="43">
        <v>2272.9699999999998</v>
      </c>
      <c r="F32" s="22">
        <v>21.67</v>
      </c>
      <c r="G32" s="43">
        <v>2473.08</v>
      </c>
      <c r="H32" s="43">
        <f t="shared" si="0"/>
        <v>1980.48</v>
      </c>
      <c r="I32" s="34">
        <f t="shared" si="1"/>
        <v>4.020462850182704</v>
      </c>
    </row>
    <row r="33" spans="2:9" x14ac:dyDescent="0.35">
      <c r="B33" s="5" t="s">
        <v>49</v>
      </c>
      <c r="C33" s="5">
        <v>98</v>
      </c>
      <c r="D33" s="43">
        <v>1492.31</v>
      </c>
      <c r="E33" s="5">
        <v>-540.04999999999995</v>
      </c>
      <c r="F33" s="22">
        <v>0.34</v>
      </c>
      <c r="G33" s="43">
        <v>7324.99</v>
      </c>
      <c r="H33" s="43">
        <f t="shared" si="0"/>
        <v>5832.68</v>
      </c>
      <c r="I33" s="34">
        <f t="shared" si="1"/>
        <v>3.9084908631584594</v>
      </c>
    </row>
    <row r="34" spans="2:9" x14ac:dyDescent="0.35">
      <c r="B34" s="5" t="s">
        <v>50</v>
      </c>
      <c r="C34" s="5">
        <v>57</v>
      </c>
      <c r="D34" s="43">
        <v>2133.6999999999998</v>
      </c>
      <c r="E34" s="43">
        <v>5871.13</v>
      </c>
      <c r="F34" s="22">
        <v>36.340000000000003</v>
      </c>
      <c r="G34" s="43">
        <v>4356.08</v>
      </c>
      <c r="H34" s="43">
        <f t="shared" si="0"/>
        <v>2222.38</v>
      </c>
      <c r="I34" s="34">
        <f t="shared" si="1"/>
        <v>1.041561606598866</v>
      </c>
    </row>
    <row r="35" spans="2:9" x14ac:dyDescent="0.35">
      <c r="B35" s="5" t="s">
        <v>51</v>
      </c>
      <c r="C35" s="5">
        <v>42</v>
      </c>
      <c r="D35" s="43">
        <v>3212.82</v>
      </c>
      <c r="E35" s="43">
        <v>18538.57</v>
      </c>
      <c r="F35" s="22">
        <v>17.329999999999998</v>
      </c>
      <c r="G35" s="43">
        <v>12637.26</v>
      </c>
      <c r="H35" s="43">
        <f t="shared" si="0"/>
        <v>9424.44</v>
      </c>
      <c r="I35" s="34">
        <f t="shared" si="1"/>
        <v>2.9333856238444729</v>
      </c>
    </row>
    <row r="36" spans="2:9" x14ac:dyDescent="0.35">
      <c r="B36" s="5" t="s">
        <v>52</v>
      </c>
      <c r="C36" s="5">
        <v>172</v>
      </c>
      <c r="D36" s="43">
        <v>22615.11</v>
      </c>
      <c r="E36" s="43">
        <v>81321.53</v>
      </c>
      <c r="F36" s="22">
        <v>27.81</v>
      </c>
      <c r="G36" s="43">
        <v>73410.5</v>
      </c>
      <c r="H36" s="43">
        <f t="shared" si="0"/>
        <v>50795.39</v>
      </c>
      <c r="I36" s="34">
        <f t="shared" si="1"/>
        <v>2.2460819337159976</v>
      </c>
    </row>
    <row r="37" spans="2:9" x14ac:dyDescent="0.35">
      <c r="B37" s="5" t="s">
        <v>53</v>
      </c>
      <c r="C37" s="5">
        <v>82</v>
      </c>
      <c r="D37" s="43">
        <v>11853.45</v>
      </c>
      <c r="E37" s="43">
        <v>17252.25</v>
      </c>
      <c r="F37" s="22">
        <v>68.709999999999994</v>
      </c>
      <c r="G37" s="43">
        <v>17314.97</v>
      </c>
      <c r="H37" s="43">
        <f t="shared" si="0"/>
        <v>5461.52</v>
      </c>
      <c r="I37" s="34">
        <f t="shared" si="1"/>
        <v>0.46075362025401889</v>
      </c>
    </row>
    <row r="38" spans="2:9" x14ac:dyDescent="0.35">
      <c r="B38" s="5" t="s">
        <v>54</v>
      </c>
      <c r="C38" s="5">
        <v>14</v>
      </c>
      <c r="D38" s="43">
        <v>1054.3</v>
      </c>
      <c r="E38" s="43">
        <v>2762.74</v>
      </c>
      <c r="F38" s="22">
        <v>38.159999999999997</v>
      </c>
      <c r="G38" s="43">
        <v>1803.12</v>
      </c>
      <c r="H38" s="43">
        <f t="shared" si="0"/>
        <v>748.81999999999994</v>
      </c>
      <c r="I38" s="34">
        <f t="shared" si="1"/>
        <v>0.71025324860096739</v>
      </c>
    </row>
    <row r="39" spans="2:9" x14ac:dyDescent="0.35">
      <c r="B39" s="5" t="s">
        <v>55</v>
      </c>
      <c r="C39" s="5">
        <v>31</v>
      </c>
      <c r="D39" s="43">
        <v>1579.49</v>
      </c>
      <c r="E39" s="43">
        <v>-1353.02</v>
      </c>
      <c r="F39" s="22">
        <v>0.86</v>
      </c>
      <c r="G39" s="43">
        <v>1793.44</v>
      </c>
      <c r="H39" s="43">
        <f t="shared" si="0"/>
        <v>213.95000000000005</v>
      </c>
      <c r="I39" s="34">
        <f t="shared" si="1"/>
        <v>0.13545511525872278</v>
      </c>
    </row>
    <row r="40" spans="2:9" x14ac:dyDescent="0.35">
      <c r="B40" s="5" t="s">
        <v>56</v>
      </c>
      <c r="C40" s="5">
        <v>17</v>
      </c>
      <c r="D40" s="5">
        <v>284.2</v>
      </c>
      <c r="E40" s="43">
        <v>1110.3599999999999</v>
      </c>
      <c r="F40" s="22">
        <v>25.6</v>
      </c>
      <c r="G40" s="5">
        <v>289.47000000000003</v>
      </c>
      <c r="H40" s="43">
        <f t="shared" si="0"/>
        <v>5.2700000000000387</v>
      </c>
      <c r="I40" s="34">
        <f t="shared" si="1"/>
        <v>1.8543279380717943E-2</v>
      </c>
    </row>
    <row r="41" spans="2:9" x14ac:dyDescent="0.35">
      <c r="B41" s="5" t="s">
        <v>57</v>
      </c>
      <c r="C41" s="5">
        <v>230</v>
      </c>
      <c r="D41" s="43">
        <v>7563.34</v>
      </c>
      <c r="E41" s="43">
        <v>18109.07</v>
      </c>
      <c r="F41" s="22">
        <v>41.77</v>
      </c>
      <c r="G41" s="43">
        <v>13703.67</v>
      </c>
      <c r="H41" s="43">
        <f t="shared" si="0"/>
        <v>6140.33</v>
      </c>
      <c r="I41" s="34">
        <f t="shared" si="1"/>
        <v>0.81185428659824888</v>
      </c>
    </row>
    <row r="42" spans="2:9" x14ac:dyDescent="0.35">
      <c r="B42" s="5" t="s">
        <v>58</v>
      </c>
      <c r="C42" s="5">
        <v>119</v>
      </c>
      <c r="D42" s="43">
        <v>14897.92</v>
      </c>
      <c r="E42" s="43">
        <v>50286.77</v>
      </c>
      <c r="F42" s="22">
        <v>29.63</v>
      </c>
      <c r="G42" s="43">
        <v>47704.35</v>
      </c>
      <c r="H42" s="43">
        <f t="shared" si="0"/>
        <v>32806.43</v>
      </c>
      <c r="I42" s="34">
        <f t="shared" si="1"/>
        <v>2.2020812301314545</v>
      </c>
    </row>
    <row r="43" spans="2:9" x14ac:dyDescent="0.35">
      <c r="B43" s="5" t="s">
        <v>59</v>
      </c>
      <c r="C43" s="5">
        <v>128</v>
      </c>
      <c r="D43" s="43">
        <v>1752.49</v>
      </c>
      <c r="E43" s="43">
        <v>8883.58</v>
      </c>
      <c r="F43" s="22">
        <v>19.73</v>
      </c>
      <c r="G43" s="43">
        <v>10749.9</v>
      </c>
      <c r="H43" s="43">
        <f t="shared" si="0"/>
        <v>8997.41</v>
      </c>
      <c r="I43" s="34">
        <f t="shared" si="1"/>
        <v>5.13407209170951</v>
      </c>
    </row>
    <row r="44" spans="2:9" x14ac:dyDescent="0.35">
      <c r="B44" s="5" t="s">
        <v>60</v>
      </c>
      <c r="C44" s="5">
        <v>32</v>
      </c>
      <c r="D44" s="43">
        <v>1349.61</v>
      </c>
      <c r="E44" s="43">
        <v>20979.15</v>
      </c>
      <c r="F44" s="22">
        <v>6.43</v>
      </c>
      <c r="G44" s="43">
        <v>5424.75</v>
      </c>
      <c r="H44" s="43">
        <f t="shared" si="0"/>
        <v>4075.1400000000003</v>
      </c>
      <c r="I44" s="34">
        <f t="shared" si="1"/>
        <v>3.0194945206392965</v>
      </c>
    </row>
    <row r="45" spans="2:9" x14ac:dyDescent="0.35">
      <c r="B45" s="5" t="s">
        <v>61</v>
      </c>
      <c r="C45" s="5">
        <v>32</v>
      </c>
      <c r="D45" s="5">
        <v>908.4</v>
      </c>
      <c r="E45" s="43">
        <v>7107.36</v>
      </c>
      <c r="F45" s="22">
        <v>12.78</v>
      </c>
      <c r="G45" s="43">
        <v>6255.1</v>
      </c>
      <c r="H45" s="43">
        <f t="shared" si="0"/>
        <v>5346.7000000000007</v>
      </c>
      <c r="I45" s="34">
        <f t="shared" si="1"/>
        <v>5.885843240863057</v>
      </c>
    </row>
    <row r="46" spans="2:9" x14ac:dyDescent="0.35">
      <c r="B46" s="5" t="s">
        <v>62</v>
      </c>
      <c r="C46" s="5">
        <v>68</v>
      </c>
      <c r="D46" s="43">
        <v>1647.75</v>
      </c>
      <c r="E46" s="43">
        <v>19543.349999999999</v>
      </c>
      <c r="F46" s="22">
        <v>8.43</v>
      </c>
      <c r="G46" s="43">
        <v>30155.81</v>
      </c>
      <c r="H46" s="43">
        <f t="shared" si="0"/>
        <v>28508.06</v>
      </c>
      <c r="I46" s="34">
        <f t="shared" si="1"/>
        <v>17.301204673038992</v>
      </c>
    </row>
    <row r="47" spans="2:9" x14ac:dyDescent="0.35">
      <c r="B47" s="5" t="s">
        <v>63</v>
      </c>
      <c r="C47" s="5">
        <v>93</v>
      </c>
      <c r="D47" s="43">
        <v>29193.22</v>
      </c>
      <c r="E47" s="43">
        <v>23884</v>
      </c>
      <c r="F47" s="22">
        <v>122.23</v>
      </c>
      <c r="G47" s="43">
        <v>36757.339999999997</v>
      </c>
      <c r="H47" s="43">
        <f t="shared" si="0"/>
        <v>7564.1199999999953</v>
      </c>
      <c r="I47" s="34">
        <f t="shared" si="1"/>
        <v>0.25910536761617919</v>
      </c>
    </row>
    <row r="48" spans="2:9" x14ac:dyDescent="0.35">
      <c r="B48" s="5" t="s">
        <v>64</v>
      </c>
      <c r="C48" s="5">
        <v>18</v>
      </c>
      <c r="D48" s="5">
        <v>760.9</v>
      </c>
      <c r="E48" s="43">
        <v>1253.46</v>
      </c>
      <c r="F48" s="22">
        <v>60.7</v>
      </c>
      <c r="G48" s="43">
        <v>1942.67</v>
      </c>
      <c r="H48" s="43">
        <f t="shared" si="0"/>
        <v>1181.77</v>
      </c>
      <c r="I48" s="34">
        <f t="shared" si="1"/>
        <v>1.5531213037192799</v>
      </c>
    </row>
    <row r="49" spans="2:9" x14ac:dyDescent="0.35">
      <c r="B49" s="5" t="s">
        <v>65</v>
      </c>
      <c r="C49" s="5">
        <v>21</v>
      </c>
      <c r="D49" s="43">
        <v>3084.82</v>
      </c>
      <c r="E49" s="43">
        <v>9418.43</v>
      </c>
      <c r="F49" s="22">
        <v>32.75</v>
      </c>
      <c r="G49" s="43">
        <v>7394.35</v>
      </c>
      <c r="H49" s="43">
        <f t="shared" si="0"/>
        <v>4309.5300000000007</v>
      </c>
      <c r="I49" s="34">
        <f t="shared" si="1"/>
        <v>1.3970118191661103</v>
      </c>
    </row>
    <row r="50" spans="2:9" x14ac:dyDescent="0.35">
      <c r="B50" s="5" t="s">
        <v>66</v>
      </c>
      <c r="C50" s="5">
        <v>23</v>
      </c>
      <c r="D50" s="43">
        <v>5932.29</v>
      </c>
      <c r="E50" s="43">
        <v>1556.19</v>
      </c>
      <c r="F50" s="22">
        <v>381.21</v>
      </c>
      <c r="G50" s="43">
        <v>15463.08</v>
      </c>
      <c r="H50" s="43">
        <f t="shared" si="0"/>
        <v>9530.7900000000009</v>
      </c>
      <c r="I50" s="34">
        <f t="shared" si="1"/>
        <v>1.6065954294210163</v>
      </c>
    </row>
    <row r="51" spans="2:9" x14ac:dyDescent="0.35">
      <c r="B51" s="5" t="s">
        <v>67</v>
      </c>
      <c r="C51" s="5">
        <v>50</v>
      </c>
      <c r="D51" s="43">
        <v>5608.53</v>
      </c>
      <c r="E51" s="43">
        <v>15963.52</v>
      </c>
      <c r="F51" s="22">
        <v>35.130000000000003</v>
      </c>
      <c r="G51" s="43">
        <v>12104.45</v>
      </c>
      <c r="H51" s="43">
        <f t="shared" si="0"/>
        <v>6495.920000000001</v>
      </c>
      <c r="I51" s="34">
        <f t="shared" si="1"/>
        <v>1.1582214947588765</v>
      </c>
    </row>
    <row r="52" spans="2:9" x14ac:dyDescent="0.35">
      <c r="B52" s="5" t="s">
        <v>68</v>
      </c>
      <c r="C52" s="5">
        <v>334</v>
      </c>
      <c r="D52" s="43">
        <v>11402.77</v>
      </c>
      <c r="E52" s="43">
        <v>27081.32</v>
      </c>
      <c r="F52" s="22">
        <v>42.11</v>
      </c>
      <c r="G52" s="43">
        <v>55546.65</v>
      </c>
      <c r="H52" s="43">
        <f t="shared" si="0"/>
        <v>44143.880000000005</v>
      </c>
      <c r="I52" s="34">
        <f t="shared" si="1"/>
        <v>3.8713295102856589</v>
      </c>
    </row>
    <row r="53" spans="2:9" x14ac:dyDescent="0.35">
      <c r="B53" s="5" t="s">
        <v>69</v>
      </c>
      <c r="C53" s="5">
        <v>103</v>
      </c>
      <c r="D53" s="43">
        <v>6629.38</v>
      </c>
      <c r="E53" s="43">
        <v>18277.86</v>
      </c>
      <c r="F53" s="22">
        <v>36.270000000000003</v>
      </c>
      <c r="G53" s="43">
        <v>11683.97</v>
      </c>
      <c r="H53" s="43">
        <f t="shared" si="0"/>
        <v>5054.5899999999992</v>
      </c>
      <c r="I53" s="34">
        <f t="shared" si="1"/>
        <v>0.76245289906446745</v>
      </c>
    </row>
    <row r="54" spans="2:9" x14ac:dyDescent="0.35">
      <c r="B54" s="5" t="s">
        <v>70</v>
      </c>
      <c r="C54" s="5">
        <v>68</v>
      </c>
      <c r="D54" s="43">
        <v>3736.7</v>
      </c>
      <c r="E54" s="43">
        <v>3913.98</v>
      </c>
      <c r="F54" s="22">
        <v>95.47</v>
      </c>
      <c r="G54" s="43">
        <v>3849.05</v>
      </c>
      <c r="H54" s="43">
        <f t="shared" si="0"/>
        <v>112.35000000000036</v>
      </c>
      <c r="I54" s="34">
        <f t="shared" si="1"/>
        <v>3.0066636336874883E-2</v>
      </c>
    </row>
    <row r="55" spans="2:9" x14ac:dyDescent="0.35">
      <c r="B55" s="5" t="s">
        <v>71</v>
      </c>
      <c r="C55" s="5">
        <v>17</v>
      </c>
      <c r="D55" s="5">
        <v>336.59</v>
      </c>
      <c r="E55" s="5">
        <v>149.49</v>
      </c>
      <c r="F55" s="22">
        <v>225.17</v>
      </c>
      <c r="G55" s="5">
        <v>361.44</v>
      </c>
      <c r="H55" s="43">
        <f t="shared" si="0"/>
        <v>24.850000000000023</v>
      </c>
      <c r="I55" s="34">
        <f t="shared" si="1"/>
        <v>7.3828693662913406E-2</v>
      </c>
    </row>
    <row r="56" spans="2:9" x14ac:dyDescent="0.35">
      <c r="B56" s="5" t="s">
        <v>72</v>
      </c>
      <c r="C56" s="5">
        <v>4</v>
      </c>
      <c r="D56" s="43">
        <v>26842.29</v>
      </c>
      <c r="E56" s="43">
        <v>72268.800000000003</v>
      </c>
      <c r="F56" s="22">
        <v>37.14</v>
      </c>
      <c r="G56" s="43">
        <v>60963.56</v>
      </c>
      <c r="H56" s="43">
        <f t="shared" si="0"/>
        <v>34121.269999999997</v>
      </c>
      <c r="I56" s="34">
        <f t="shared" si="1"/>
        <v>1.2711758199468077</v>
      </c>
    </row>
    <row r="57" spans="2:9" x14ac:dyDescent="0.35">
      <c r="B57" s="5" t="s">
        <v>73</v>
      </c>
      <c r="C57" s="5">
        <v>166</v>
      </c>
      <c r="D57" s="43">
        <v>23035.56</v>
      </c>
      <c r="E57" s="43">
        <v>73661.2</v>
      </c>
      <c r="F57" s="22">
        <v>31.27</v>
      </c>
      <c r="G57" s="43">
        <v>38213.29</v>
      </c>
      <c r="H57" s="43">
        <f t="shared" si="0"/>
        <v>15177.73</v>
      </c>
      <c r="I57" s="34">
        <f t="shared" si="1"/>
        <v>0.65888261453161978</v>
      </c>
    </row>
    <row r="58" spans="2:9" x14ac:dyDescent="0.35">
      <c r="B58" s="5" t="s">
        <v>74</v>
      </c>
      <c r="C58" s="5">
        <v>24</v>
      </c>
      <c r="D58" s="43">
        <v>9714.68</v>
      </c>
      <c r="E58" s="43">
        <v>24381.73</v>
      </c>
      <c r="F58" s="22">
        <v>39.840000000000003</v>
      </c>
      <c r="G58" s="43">
        <v>12877.45</v>
      </c>
      <c r="H58" s="43">
        <f t="shared" si="0"/>
        <v>3162.7700000000004</v>
      </c>
      <c r="I58" s="34">
        <f t="shared" si="1"/>
        <v>0.32556605055441873</v>
      </c>
    </row>
    <row r="59" spans="2:9" x14ac:dyDescent="0.35">
      <c r="B59" s="5" t="s">
        <v>75</v>
      </c>
      <c r="C59" s="5">
        <v>100</v>
      </c>
      <c r="D59" s="43">
        <v>8783.42</v>
      </c>
      <c r="E59" s="43">
        <v>46698.67</v>
      </c>
      <c r="F59" s="22">
        <v>18.809999999999999</v>
      </c>
      <c r="G59" s="43">
        <v>34042.71</v>
      </c>
      <c r="H59" s="43">
        <f t="shared" si="0"/>
        <v>25259.29</v>
      </c>
      <c r="I59" s="34">
        <f t="shared" si="1"/>
        <v>2.8757921174212324</v>
      </c>
    </row>
    <row r="60" spans="2:9" x14ac:dyDescent="0.35">
      <c r="B60" s="5" t="s">
        <v>76</v>
      </c>
      <c r="C60" s="5">
        <v>22</v>
      </c>
      <c r="D60" s="43">
        <v>2944.63</v>
      </c>
      <c r="E60" s="43">
        <v>4193.33</v>
      </c>
      <c r="F60" s="22">
        <v>70.22</v>
      </c>
      <c r="G60" s="43">
        <v>5178.04</v>
      </c>
      <c r="H60" s="43">
        <f t="shared" si="0"/>
        <v>2233.41</v>
      </c>
      <c r="I60" s="34">
        <f t="shared" si="1"/>
        <v>0.75846880592807919</v>
      </c>
    </row>
    <row r="61" spans="2:9" x14ac:dyDescent="0.35">
      <c r="B61" s="5" t="s">
        <v>77</v>
      </c>
      <c r="C61" s="5">
        <v>7</v>
      </c>
      <c r="D61" s="5">
        <v>105</v>
      </c>
      <c r="E61" s="5">
        <v>380.73</v>
      </c>
      <c r="F61" s="22">
        <v>27.58</v>
      </c>
      <c r="G61" s="5">
        <v>257.89999999999998</v>
      </c>
      <c r="H61" s="43">
        <f t="shared" si="0"/>
        <v>152.89999999999998</v>
      </c>
      <c r="I61" s="34">
        <f t="shared" si="1"/>
        <v>1.456190476190476</v>
      </c>
    </row>
    <row r="62" spans="2:9" x14ac:dyDescent="0.35">
      <c r="B62" s="5" t="s">
        <v>78</v>
      </c>
      <c r="C62" s="5">
        <v>50</v>
      </c>
      <c r="D62" s="43">
        <v>25160.67</v>
      </c>
      <c r="E62" s="43">
        <v>32814.949999999997</v>
      </c>
      <c r="F62" s="22">
        <v>76.67</v>
      </c>
      <c r="G62" s="43">
        <v>27045.25</v>
      </c>
      <c r="H62" s="43">
        <f t="shared" si="0"/>
        <v>1884.5800000000017</v>
      </c>
      <c r="I62" s="34">
        <f t="shared" si="1"/>
        <v>7.4901820976945449E-2</v>
      </c>
    </row>
    <row r="63" spans="2:9" x14ac:dyDescent="0.35">
      <c r="B63" s="5" t="s">
        <v>79</v>
      </c>
      <c r="C63" s="5">
        <v>61</v>
      </c>
      <c r="D63" s="43">
        <v>1802.43</v>
      </c>
      <c r="E63" s="5">
        <v>-855.33</v>
      </c>
      <c r="F63" s="22">
        <v>0.88</v>
      </c>
      <c r="G63" s="43">
        <v>1862.66</v>
      </c>
      <c r="H63" s="43">
        <f t="shared" si="0"/>
        <v>60.230000000000018</v>
      </c>
      <c r="I63" s="34">
        <f t="shared" si="1"/>
        <v>3.3415999511770232E-2</v>
      </c>
    </row>
    <row r="64" spans="2:9" x14ac:dyDescent="0.35">
      <c r="B64" s="5" t="s">
        <v>80</v>
      </c>
      <c r="C64" s="5">
        <v>21</v>
      </c>
      <c r="D64" s="5">
        <v>423.56</v>
      </c>
      <c r="E64" s="5">
        <v>485.98</v>
      </c>
      <c r="F64" s="22">
        <v>87.16</v>
      </c>
      <c r="G64" s="5">
        <v>988.2</v>
      </c>
      <c r="H64" s="43">
        <f t="shared" si="0"/>
        <v>564.6400000000001</v>
      </c>
      <c r="I64" s="34">
        <f t="shared" si="1"/>
        <v>1.3330814996694687</v>
      </c>
    </row>
    <row r="65" spans="2:9" x14ac:dyDescent="0.35">
      <c r="B65" s="5" t="s">
        <v>81</v>
      </c>
      <c r="C65" s="5">
        <v>193</v>
      </c>
      <c r="D65" s="43">
        <v>50197.93</v>
      </c>
      <c r="E65" s="43">
        <v>23324.14</v>
      </c>
      <c r="F65" s="22">
        <v>215.22</v>
      </c>
      <c r="G65" s="43">
        <v>43938.93</v>
      </c>
      <c r="H65" s="43">
        <f t="shared" si="0"/>
        <v>0</v>
      </c>
      <c r="I65" s="34">
        <f t="shared" si="1"/>
        <v>0</v>
      </c>
    </row>
    <row r="66" spans="2:9" x14ac:dyDescent="0.35">
      <c r="B66" s="5" t="s">
        <v>82</v>
      </c>
      <c r="C66" s="5">
        <v>17</v>
      </c>
      <c r="D66" s="5">
        <v>1.1299999999999999</v>
      </c>
      <c r="E66" s="5">
        <v>-442.93</v>
      </c>
      <c r="F66" s="22">
        <v>0</v>
      </c>
      <c r="G66" s="5">
        <v>14.69</v>
      </c>
      <c r="H66" s="43">
        <f t="shared" si="0"/>
        <v>13.559999999999999</v>
      </c>
      <c r="I66" s="34">
        <f t="shared" si="1"/>
        <v>12</v>
      </c>
    </row>
    <row r="67" spans="2:9" x14ac:dyDescent="0.35">
      <c r="B67" s="5" t="s">
        <v>83</v>
      </c>
      <c r="C67" s="5">
        <v>11</v>
      </c>
      <c r="D67" s="5">
        <v>51.1</v>
      </c>
      <c r="E67" s="5">
        <v>205.03</v>
      </c>
      <c r="F67" s="22">
        <v>24.92</v>
      </c>
      <c r="G67" s="5">
        <v>69.34</v>
      </c>
      <c r="H67" s="43">
        <f t="shared" si="0"/>
        <v>18.240000000000002</v>
      </c>
      <c r="I67" s="34">
        <f t="shared" si="1"/>
        <v>0.35694716242661451</v>
      </c>
    </row>
    <row r="68" spans="2:9" x14ac:dyDescent="0.35">
      <c r="B68" s="5" t="s">
        <v>84</v>
      </c>
      <c r="C68" s="5">
        <v>60</v>
      </c>
      <c r="D68" s="5">
        <v>449.46</v>
      </c>
      <c r="E68" s="43">
        <v>-2984.05</v>
      </c>
      <c r="F68" s="22">
        <v>0.76</v>
      </c>
      <c r="G68" s="43">
        <v>2671.98</v>
      </c>
      <c r="H68" s="43">
        <f t="shared" si="0"/>
        <v>2222.52</v>
      </c>
      <c r="I68" s="34">
        <f t="shared" si="1"/>
        <v>4.9448671739420638</v>
      </c>
    </row>
    <row r="69" spans="2:9" x14ac:dyDescent="0.35">
      <c r="B69" s="5" t="s">
        <v>85</v>
      </c>
      <c r="C69" s="5">
        <v>55</v>
      </c>
      <c r="D69" s="43">
        <v>1113.23</v>
      </c>
      <c r="E69" s="5">
        <v>557.77</v>
      </c>
      <c r="F69" s="22">
        <v>199.59</v>
      </c>
      <c r="G69" s="43">
        <v>3702.12</v>
      </c>
      <c r="H69" s="43">
        <f t="shared" ref="H69:H98" si="2">IF(D69&gt;G69,0,G69-D69)</f>
        <v>2588.89</v>
      </c>
      <c r="I69" s="34">
        <f t="shared" ref="I69:I98" si="3">IFERROR(H69/D69,0)</f>
        <v>2.325566145360797</v>
      </c>
    </row>
    <row r="70" spans="2:9" x14ac:dyDescent="0.35">
      <c r="B70" s="5" t="s">
        <v>86</v>
      </c>
      <c r="C70" s="5">
        <v>1</v>
      </c>
      <c r="D70" s="5">
        <v>216</v>
      </c>
      <c r="E70" s="43">
        <v>1141</v>
      </c>
      <c r="F70" s="22">
        <v>18.93</v>
      </c>
      <c r="G70" s="5">
        <v>412</v>
      </c>
      <c r="H70" s="43">
        <f t="shared" si="2"/>
        <v>196</v>
      </c>
      <c r="I70" s="34">
        <f t="shared" si="3"/>
        <v>0.90740740740740744</v>
      </c>
    </row>
    <row r="71" spans="2:9" x14ac:dyDescent="0.35">
      <c r="B71" s="5" t="s">
        <v>87</v>
      </c>
      <c r="C71" s="5">
        <v>64</v>
      </c>
      <c r="D71" s="43">
        <v>9274.74</v>
      </c>
      <c r="E71" s="43">
        <v>17474.580000000002</v>
      </c>
      <c r="F71" s="22">
        <v>53.08</v>
      </c>
      <c r="G71" s="43">
        <v>17108.28</v>
      </c>
      <c r="H71" s="43">
        <f t="shared" si="2"/>
        <v>7833.5399999999991</v>
      </c>
      <c r="I71" s="34">
        <f t="shared" si="3"/>
        <v>0.84461019931556025</v>
      </c>
    </row>
    <row r="72" spans="2:9" x14ac:dyDescent="0.35">
      <c r="B72" s="5" t="s">
        <v>88</v>
      </c>
      <c r="C72" s="5">
        <v>30</v>
      </c>
      <c r="D72" s="5">
        <v>659.24</v>
      </c>
      <c r="E72" s="43">
        <v>11377.63</v>
      </c>
      <c r="F72" s="22">
        <v>5.79</v>
      </c>
      <c r="G72" s="43">
        <v>12888.28</v>
      </c>
      <c r="H72" s="43">
        <f t="shared" si="2"/>
        <v>12229.04</v>
      </c>
      <c r="I72" s="34">
        <f t="shared" si="3"/>
        <v>18.550209331958012</v>
      </c>
    </row>
    <row r="73" spans="2:9" x14ac:dyDescent="0.35">
      <c r="B73" s="5" t="s">
        <v>89</v>
      </c>
      <c r="C73" s="5">
        <v>16</v>
      </c>
      <c r="D73" s="43">
        <v>11038.8</v>
      </c>
      <c r="E73" s="43">
        <v>23665.69</v>
      </c>
      <c r="F73" s="22">
        <v>46.64</v>
      </c>
      <c r="G73" s="43">
        <v>29442.75</v>
      </c>
      <c r="H73" s="43">
        <f t="shared" si="2"/>
        <v>18403.95</v>
      </c>
      <c r="I73" s="34">
        <f t="shared" si="3"/>
        <v>1.6672056745298405</v>
      </c>
    </row>
    <row r="74" spans="2:9" x14ac:dyDescent="0.35">
      <c r="B74" s="5" t="s">
        <v>90</v>
      </c>
      <c r="C74" s="5">
        <v>62</v>
      </c>
      <c r="D74" s="43">
        <v>3698.29</v>
      </c>
      <c r="E74" s="43">
        <v>14663.81</v>
      </c>
      <c r="F74" s="22">
        <v>25.22</v>
      </c>
      <c r="G74" s="43">
        <v>7770.65</v>
      </c>
      <c r="H74" s="43">
        <f t="shared" si="2"/>
        <v>4072.3599999999997</v>
      </c>
      <c r="I74" s="34">
        <f t="shared" si="3"/>
        <v>1.1011467461989188</v>
      </c>
    </row>
    <row r="75" spans="2:9" x14ac:dyDescent="0.35">
      <c r="B75" s="5" t="s">
        <v>91</v>
      </c>
      <c r="C75" s="5">
        <v>26</v>
      </c>
      <c r="D75" s="43">
        <v>11823.23</v>
      </c>
      <c r="E75" s="43">
        <v>54372.85</v>
      </c>
      <c r="F75" s="22">
        <v>21.74</v>
      </c>
      <c r="G75" s="43">
        <v>19987.849999999999</v>
      </c>
      <c r="H75" s="43">
        <f t="shared" si="2"/>
        <v>8164.619999999999</v>
      </c>
      <c r="I75" s="34">
        <f t="shared" si="3"/>
        <v>0.69055748725179156</v>
      </c>
    </row>
    <row r="76" spans="2:9" x14ac:dyDescent="0.35">
      <c r="B76" s="5" t="s">
        <v>92</v>
      </c>
      <c r="C76" s="5">
        <v>14</v>
      </c>
      <c r="D76" s="43">
        <v>1171.07</v>
      </c>
      <c r="E76" s="43">
        <v>3171.57</v>
      </c>
      <c r="F76" s="22">
        <v>36.92</v>
      </c>
      <c r="G76" s="43">
        <v>2154.39</v>
      </c>
      <c r="H76" s="43">
        <f t="shared" si="2"/>
        <v>983.31999999999994</v>
      </c>
      <c r="I76" s="34">
        <f t="shared" si="3"/>
        <v>0.83967653513453511</v>
      </c>
    </row>
    <row r="77" spans="2:9" x14ac:dyDescent="0.35">
      <c r="B77" s="5" t="s">
        <v>93</v>
      </c>
      <c r="C77" s="5">
        <v>28</v>
      </c>
      <c r="D77" s="43">
        <v>8577.61</v>
      </c>
      <c r="E77" s="43">
        <v>5513.58</v>
      </c>
      <c r="F77" s="22">
        <v>155.57</v>
      </c>
      <c r="G77" s="43">
        <v>5329.63</v>
      </c>
      <c r="H77" s="43">
        <f t="shared" si="2"/>
        <v>0</v>
      </c>
      <c r="I77" s="34">
        <f t="shared" si="3"/>
        <v>0</v>
      </c>
    </row>
    <row r="78" spans="2:9" x14ac:dyDescent="0.35">
      <c r="B78" s="5" t="s">
        <v>94</v>
      </c>
      <c r="C78" s="5">
        <v>105</v>
      </c>
      <c r="D78" s="43">
        <v>6069.07</v>
      </c>
      <c r="E78" s="43">
        <v>6972.52</v>
      </c>
      <c r="F78" s="22">
        <v>87.04</v>
      </c>
      <c r="G78" s="43">
        <v>14754.3</v>
      </c>
      <c r="H78" s="43">
        <f t="shared" si="2"/>
        <v>8685.23</v>
      </c>
      <c r="I78" s="34">
        <f t="shared" si="3"/>
        <v>1.4310643970163468</v>
      </c>
    </row>
    <row r="79" spans="2:9" x14ac:dyDescent="0.35">
      <c r="B79" s="5" t="s">
        <v>95</v>
      </c>
      <c r="C79" s="5">
        <v>3</v>
      </c>
      <c r="D79" s="5">
        <v>0</v>
      </c>
      <c r="E79" s="5">
        <v>-514.1</v>
      </c>
      <c r="F79" s="22" t="e">
        <v>#DIV/0!</v>
      </c>
      <c r="G79" s="5">
        <v>0</v>
      </c>
      <c r="H79" s="43">
        <f t="shared" si="2"/>
        <v>0</v>
      </c>
      <c r="I79" s="34">
        <f t="shared" si="3"/>
        <v>0</v>
      </c>
    </row>
    <row r="80" spans="2:9" x14ac:dyDescent="0.35">
      <c r="B80" s="5" t="s">
        <v>96</v>
      </c>
      <c r="C80" s="5">
        <v>63</v>
      </c>
      <c r="D80" s="43">
        <v>23975.200000000001</v>
      </c>
      <c r="E80" s="43">
        <v>49055.14</v>
      </c>
      <c r="F80" s="22">
        <v>48.87</v>
      </c>
      <c r="G80" s="43">
        <v>54855.23</v>
      </c>
      <c r="H80" s="43">
        <f t="shared" si="2"/>
        <v>30880.030000000002</v>
      </c>
      <c r="I80" s="34">
        <f t="shared" si="3"/>
        <v>1.2879988488104375</v>
      </c>
    </row>
    <row r="81" spans="2:9" x14ac:dyDescent="0.35">
      <c r="B81" s="5" t="s">
        <v>97</v>
      </c>
      <c r="C81" s="5">
        <v>30</v>
      </c>
      <c r="D81" s="43">
        <v>2940.65</v>
      </c>
      <c r="E81" s="43">
        <v>14637.39</v>
      </c>
      <c r="F81" s="22">
        <v>20.09</v>
      </c>
      <c r="G81" s="43">
        <v>10975.18</v>
      </c>
      <c r="H81" s="43">
        <f t="shared" si="2"/>
        <v>8034.5300000000007</v>
      </c>
      <c r="I81" s="34">
        <f t="shared" si="3"/>
        <v>2.7322292690391583</v>
      </c>
    </row>
    <row r="82" spans="2:9" x14ac:dyDescent="0.35">
      <c r="B82" s="5" t="s">
        <v>98</v>
      </c>
      <c r="C82" s="5">
        <v>8</v>
      </c>
      <c r="D82" s="5">
        <v>169.7</v>
      </c>
      <c r="E82" s="5">
        <v>578.44000000000005</v>
      </c>
      <c r="F82" s="22">
        <v>29.34</v>
      </c>
      <c r="G82" s="5">
        <v>680.65</v>
      </c>
      <c r="H82" s="43">
        <f t="shared" si="2"/>
        <v>510.95</v>
      </c>
      <c r="I82" s="34">
        <f t="shared" si="3"/>
        <v>3.0109015910430172</v>
      </c>
    </row>
    <row r="83" spans="2:9" x14ac:dyDescent="0.35">
      <c r="B83" s="5" t="s">
        <v>99</v>
      </c>
      <c r="C83" s="5">
        <v>13</v>
      </c>
      <c r="D83" s="43">
        <v>2218.79</v>
      </c>
      <c r="E83" s="43">
        <v>6877.56</v>
      </c>
      <c r="F83" s="22">
        <v>32.26</v>
      </c>
      <c r="G83" s="5">
        <v>917.52</v>
      </c>
      <c r="H83" s="43">
        <f t="shared" si="2"/>
        <v>0</v>
      </c>
      <c r="I83" s="34">
        <f t="shared" si="3"/>
        <v>0</v>
      </c>
    </row>
    <row r="84" spans="2:9" x14ac:dyDescent="0.35">
      <c r="B84" s="5" t="s">
        <v>100</v>
      </c>
      <c r="C84" s="5">
        <v>84</v>
      </c>
      <c r="D84" s="5">
        <v>235.41</v>
      </c>
      <c r="E84" s="43">
        <v>93923.67</v>
      </c>
      <c r="F84" s="22">
        <v>0.25</v>
      </c>
      <c r="G84" s="43">
        <v>90466.02</v>
      </c>
      <c r="H84" s="43">
        <f t="shared" si="2"/>
        <v>90230.61</v>
      </c>
      <c r="I84" s="34">
        <f t="shared" si="3"/>
        <v>383.29132152414934</v>
      </c>
    </row>
    <row r="85" spans="2:9" x14ac:dyDescent="0.35">
      <c r="B85" s="5" t="s">
        <v>101</v>
      </c>
      <c r="C85" s="5">
        <v>35</v>
      </c>
      <c r="D85" s="5">
        <v>0.26</v>
      </c>
      <c r="E85" s="43">
        <v>-4129.53</v>
      </c>
      <c r="F85" s="22">
        <v>0</v>
      </c>
      <c r="G85" s="43">
        <v>5130.88</v>
      </c>
      <c r="H85" s="43">
        <f t="shared" si="2"/>
        <v>5130.62</v>
      </c>
      <c r="I85" s="34">
        <f t="shared" si="3"/>
        <v>19733.153846153844</v>
      </c>
    </row>
    <row r="86" spans="2:9" x14ac:dyDescent="0.35">
      <c r="B86" s="5" t="s">
        <v>102</v>
      </c>
      <c r="C86" s="5">
        <v>351</v>
      </c>
      <c r="D86" s="43">
        <v>26468.85</v>
      </c>
      <c r="E86" s="43">
        <v>97238.32</v>
      </c>
      <c r="F86" s="22">
        <v>27.22</v>
      </c>
      <c r="G86" s="43">
        <v>78137.649999999994</v>
      </c>
      <c r="H86" s="43">
        <f t="shared" si="2"/>
        <v>51668.799999999996</v>
      </c>
      <c r="I86" s="34">
        <f t="shared" si="3"/>
        <v>1.9520606297591319</v>
      </c>
    </row>
    <row r="87" spans="2:9" x14ac:dyDescent="0.35">
      <c r="B87" s="5" t="s">
        <v>103</v>
      </c>
      <c r="C87" s="5">
        <v>29</v>
      </c>
      <c r="D87" s="43">
        <v>1786.07</v>
      </c>
      <c r="E87" s="43">
        <v>14321.58</v>
      </c>
      <c r="F87" s="22">
        <v>12.47</v>
      </c>
      <c r="G87" s="43">
        <v>7126.84</v>
      </c>
      <c r="H87" s="43">
        <f t="shared" si="2"/>
        <v>5340.77</v>
      </c>
      <c r="I87" s="34">
        <f t="shared" si="3"/>
        <v>2.9902355450794205</v>
      </c>
    </row>
    <row r="88" spans="2:9" x14ac:dyDescent="0.35">
      <c r="B88" s="5" t="s">
        <v>104</v>
      </c>
      <c r="C88" s="5">
        <v>13</v>
      </c>
      <c r="D88" s="5">
        <v>859.33</v>
      </c>
      <c r="E88" s="43">
        <v>7780.02</v>
      </c>
      <c r="F88" s="22">
        <v>11.05</v>
      </c>
      <c r="G88" s="43">
        <v>13772.85</v>
      </c>
      <c r="H88" s="43">
        <f t="shared" si="2"/>
        <v>12913.52</v>
      </c>
      <c r="I88" s="34">
        <f t="shared" si="3"/>
        <v>15.02742834533881</v>
      </c>
    </row>
    <row r="89" spans="2:9" x14ac:dyDescent="0.35">
      <c r="B89" s="5" t="s">
        <v>105</v>
      </c>
      <c r="C89" s="5">
        <v>66</v>
      </c>
      <c r="D89" s="43">
        <v>7386.13</v>
      </c>
      <c r="E89" s="43">
        <v>16027.25</v>
      </c>
      <c r="F89" s="22">
        <v>46.08</v>
      </c>
      <c r="G89" s="43">
        <v>15674.18</v>
      </c>
      <c r="H89" s="43">
        <f t="shared" si="2"/>
        <v>8288.0499999999993</v>
      </c>
      <c r="I89" s="34">
        <f t="shared" si="3"/>
        <v>1.1221099547394913</v>
      </c>
    </row>
    <row r="90" spans="2:9" x14ac:dyDescent="0.35">
      <c r="B90" s="5" t="s">
        <v>106</v>
      </c>
      <c r="C90" s="5">
        <v>42</v>
      </c>
      <c r="D90" s="43">
        <v>19163.330000000002</v>
      </c>
      <c r="E90" s="5">
        <v>-808.37</v>
      </c>
      <c r="F90" s="22">
        <v>0.16</v>
      </c>
      <c r="G90" s="43">
        <v>11908.88</v>
      </c>
      <c r="H90" s="43">
        <f t="shared" si="2"/>
        <v>0</v>
      </c>
      <c r="I90" s="34">
        <f t="shared" si="3"/>
        <v>0</v>
      </c>
    </row>
    <row r="91" spans="2:9" x14ac:dyDescent="0.35">
      <c r="B91" s="5" t="s">
        <v>107</v>
      </c>
      <c r="C91" s="5">
        <v>16</v>
      </c>
      <c r="D91" s="43">
        <v>14856.91</v>
      </c>
      <c r="E91" s="43">
        <v>16885.91</v>
      </c>
      <c r="F91" s="22">
        <v>87.98</v>
      </c>
      <c r="G91" s="43">
        <v>15977.74</v>
      </c>
      <c r="H91" s="43">
        <f t="shared" si="2"/>
        <v>1120.83</v>
      </c>
      <c r="I91" s="34">
        <f t="shared" si="3"/>
        <v>7.5441663172220869E-2</v>
      </c>
    </row>
    <row r="92" spans="2:9" x14ac:dyDescent="0.35">
      <c r="B92" s="5" t="s">
        <v>108</v>
      </c>
      <c r="C92" s="5">
        <v>36</v>
      </c>
      <c r="D92" s="43">
        <v>7039.4</v>
      </c>
      <c r="E92" s="43">
        <v>17378.89</v>
      </c>
      <c r="F92" s="22">
        <v>40.51</v>
      </c>
      <c r="G92" s="43">
        <v>16414.650000000001</v>
      </c>
      <c r="H92" s="43">
        <f t="shared" si="2"/>
        <v>9375.2500000000018</v>
      </c>
      <c r="I92" s="34">
        <f t="shared" si="3"/>
        <v>1.3318251555530305</v>
      </c>
    </row>
    <row r="93" spans="2:9" x14ac:dyDescent="0.35">
      <c r="B93" s="5" t="s">
        <v>109</v>
      </c>
      <c r="C93" s="5">
        <v>4</v>
      </c>
      <c r="D93" s="43">
        <v>5268.3</v>
      </c>
      <c r="E93" s="43">
        <v>12105.6</v>
      </c>
      <c r="F93" s="22">
        <v>43.52</v>
      </c>
      <c r="G93" s="43">
        <v>12013.3</v>
      </c>
      <c r="H93" s="43">
        <f t="shared" si="2"/>
        <v>6744.9999999999991</v>
      </c>
      <c r="I93" s="34">
        <f t="shared" si="3"/>
        <v>1.2802991477326651</v>
      </c>
    </row>
    <row r="94" spans="2:9" x14ac:dyDescent="0.35">
      <c r="B94" s="5" t="s">
        <v>110</v>
      </c>
      <c r="C94" s="5">
        <v>22</v>
      </c>
      <c r="D94" s="5">
        <v>842.96</v>
      </c>
      <c r="E94" s="43">
        <v>4855</v>
      </c>
      <c r="F94" s="22">
        <v>17.36</v>
      </c>
      <c r="G94" s="43">
        <v>2439.3000000000002</v>
      </c>
      <c r="H94" s="43">
        <f t="shared" si="2"/>
        <v>1596.3400000000001</v>
      </c>
      <c r="I94" s="34">
        <f t="shared" si="3"/>
        <v>1.8937316124134005</v>
      </c>
    </row>
    <row r="95" spans="2:9" x14ac:dyDescent="0.35">
      <c r="B95" s="5" t="s">
        <v>111</v>
      </c>
      <c r="C95" s="5">
        <v>14</v>
      </c>
      <c r="D95" s="43">
        <v>9662.2000000000007</v>
      </c>
      <c r="E95" s="43">
        <v>16409.2</v>
      </c>
      <c r="F95" s="22">
        <v>58.88</v>
      </c>
      <c r="G95" s="43">
        <v>10725.8</v>
      </c>
      <c r="H95" s="43">
        <f t="shared" si="2"/>
        <v>1063.5999999999985</v>
      </c>
      <c r="I95" s="34">
        <f t="shared" si="3"/>
        <v>0.11007845004243325</v>
      </c>
    </row>
    <row r="96" spans="2:9" x14ac:dyDescent="0.35">
      <c r="B96" s="5" t="s">
        <v>112</v>
      </c>
      <c r="C96" s="5">
        <v>13</v>
      </c>
      <c r="D96" s="43">
        <v>1038.29</v>
      </c>
      <c r="E96" s="43">
        <v>1713.76</v>
      </c>
      <c r="F96" s="22">
        <v>39.24</v>
      </c>
      <c r="G96" s="43">
        <v>1046.07</v>
      </c>
      <c r="H96" s="43">
        <f t="shared" si="2"/>
        <v>7.7799999999999727</v>
      </c>
      <c r="I96" s="34">
        <f t="shared" si="3"/>
        <v>7.493089599244886E-3</v>
      </c>
    </row>
    <row r="97" spans="2:9" x14ac:dyDescent="0.35">
      <c r="B97" s="5" t="s">
        <v>113</v>
      </c>
      <c r="C97" s="5">
        <v>6481</v>
      </c>
      <c r="D97" s="43">
        <v>700711.38</v>
      </c>
      <c r="E97" s="43">
        <v>1785480.62</v>
      </c>
      <c r="F97" s="22">
        <v>39.24</v>
      </c>
      <c r="G97" s="43">
        <v>1556225.83</v>
      </c>
      <c r="H97" s="43">
        <f t="shared" si="2"/>
        <v>855514.45000000007</v>
      </c>
      <c r="I97" s="34">
        <f t="shared" si="3"/>
        <v>1.2209227285562283</v>
      </c>
    </row>
    <row r="98" spans="2:9" x14ac:dyDescent="0.35">
      <c r="B98" s="5" t="s">
        <v>114</v>
      </c>
      <c r="C98" s="5">
        <v>5214</v>
      </c>
      <c r="D98" s="43">
        <v>586557.78</v>
      </c>
      <c r="E98" s="43">
        <v>1421325.19</v>
      </c>
      <c r="F98" s="22">
        <v>41.27</v>
      </c>
      <c r="G98" s="43">
        <v>1304851.79</v>
      </c>
      <c r="H98" s="43">
        <f t="shared" si="2"/>
        <v>718294.01</v>
      </c>
      <c r="I98" s="34">
        <f t="shared" si="3"/>
        <v>1.2245920768453535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S&amp;P500 Valuation</vt:lpstr>
      <vt:lpstr>S&amp;P500growthEPS</vt:lpstr>
      <vt:lpstr>ExpectedDiv&amp;BB</vt:lpstr>
      <vt:lpstr>S&amp;P500 Historical</vt:lpstr>
      <vt:lpstr>10 yr Govt Bond yield</vt:lpstr>
      <vt:lpstr>ERPHistoricals</vt:lpstr>
      <vt:lpstr>Buyback 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vyas</dc:creator>
  <cp:lastModifiedBy>Devesh vyas</cp:lastModifiedBy>
  <dcterms:created xsi:type="dcterms:W3CDTF">2024-08-18T23:19:44Z</dcterms:created>
  <dcterms:modified xsi:type="dcterms:W3CDTF">2024-09-04T23:03:59Z</dcterms:modified>
</cp:coreProperties>
</file>